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_계획" sheetId="1" state="visible" r:id="rId3"/>
    <sheet name="Gantt_9일" sheetId="2" state="visible" r:id="rId4"/>
  </sheets>
  <definedNames>
    <definedName function="false" hidden="false" localSheetId="1" name="_xlnm.Print_Titles" vbProcedure="false">Gantt_9일!$4:$5</definedName>
    <definedName function="false" hidden="false" localSheetId="0" name="_xlnm.Print_Titles" vbProcedure="false">WBS_계획!$6:$6</definedName>
    <definedName function="false" hidden="true" localSheetId="0" name="_xlnm._FilterDatabase" vbProcedure="false">WBS_계획!$A$6:$O$55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<sst xmlns="http://schemas.openxmlformats.org/spreadsheetml/2006/main" count="594" uniqueCount="281">
  <si>
    <r>
      <rPr>
        <b val="true"/>
        <sz val="20"/>
        <color rgb="FFFFFFFF"/>
        <rFont val="맑은 고딕"/>
        <family val="0"/>
        <charset val="1"/>
      </rPr>
      <t xml:space="preserve">Unity </t>
    </r>
    <r>
      <rPr>
        <b val="true"/>
        <sz val="20"/>
        <color rgb="FFFFFFFF"/>
        <rFont val="Noto Sans CJK SC"/>
        <family val="2"/>
      </rPr>
      <t xml:space="preserve">기능 중심 차량 컨피규레이터</t>
    </r>
    <r>
      <rPr>
        <b val="true"/>
        <sz val="20"/>
        <color rgb="FFFFFFFF"/>
        <rFont val="맑은 고딕"/>
        <family val="0"/>
        <charset val="1"/>
      </rPr>
      <t xml:space="preserve">(</t>
    </r>
    <r>
      <rPr>
        <b val="true"/>
        <sz val="20"/>
        <color rgb="FFFFFFFF"/>
        <rFont val="Noto Sans CJK SC"/>
        <family val="2"/>
      </rPr>
      <t xml:space="preserve">팀 </t>
    </r>
    <r>
      <rPr>
        <b val="true"/>
        <sz val="20"/>
        <color rgb="FFFFFFFF"/>
        <rFont val="맑은 고딕"/>
        <family val="0"/>
        <charset val="1"/>
      </rPr>
      <t xml:space="preserve">yeyu) WBS</t>
    </r>
  </si>
  <si>
    <r>
      <rPr>
        <b val="true"/>
        <sz val="11"/>
        <color rgb="FF3A3A3A"/>
        <rFont val="Noto Sans CJK SC"/>
        <family val="2"/>
      </rPr>
      <t xml:space="preserve">프로젝트 범위</t>
    </r>
    <r>
      <rPr>
        <b val="true"/>
        <sz val="11"/>
        <color rgb="FF3A3A3A"/>
        <rFont val="맑은 고딕"/>
        <family val="0"/>
        <charset val="1"/>
      </rPr>
      <t xml:space="preserve">: </t>
    </r>
    <r>
      <rPr>
        <b val="true"/>
        <sz val="11"/>
        <color rgb="FF3A3A3A"/>
        <rFont val="Noto Sans CJK SC"/>
        <family val="2"/>
      </rPr>
      <t xml:space="preserve">외관</t>
    </r>
    <r>
      <rPr>
        <b val="true"/>
        <sz val="11"/>
        <color rgb="FF3A3A3A"/>
        <rFont val="맑은 고딕"/>
        <family val="0"/>
        <charset val="1"/>
      </rPr>
      <t xml:space="preserve">·</t>
    </r>
    <r>
      <rPr>
        <b val="true"/>
        <sz val="11"/>
        <color rgb="FF3A3A3A"/>
        <rFont val="Noto Sans CJK SC"/>
        <family val="2"/>
      </rPr>
      <t xml:space="preserve">기능 옵션 선택 후 옵션 미적용</t>
    </r>
    <r>
      <rPr>
        <b val="true"/>
        <sz val="11"/>
        <color rgb="FF3A3A3A"/>
        <rFont val="맑은 고딕"/>
        <family val="0"/>
        <charset val="1"/>
      </rPr>
      <t xml:space="preserve">/</t>
    </r>
    <r>
      <rPr>
        <b val="true"/>
        <sz val="11"/>
        <color rgb="FF3A3A3A"/>
        <rFont val="Noto Sans CJK SC"/>
        <family val="2"/>
      </rPr>
      <t xml:space="preserve">적용 차량을 분할 화면으로 비교하는 </t>
    </r>
    <r>
      <rPr>
        <b val="true"/>
        <sz val="11"/>
        <color rgb="FF3A3A3A"/>
        <rFont val="맑은 고딕"/>
        <family val="0"/>
        <charset val="1"/>
      </rPr>
      <t xml:space="preserve">Unity </t>
    </r>
    <r>
      <rPr>
        <b val="true"/>
        <sz val="11"/>
        <color rgb="FF3A3A3A"/>
        <rFont val="Noto Sans CJK SC"/>
        <family val="2"/>
      </rPr>
      <t xml:space="preserve">컨피규레이터 </t>
    </r>
    <r>
      <rPr>
        <b val="true"/>
        <sz val="11"/>
        <color rgb="FF3A3A3A"/>
        <rFont val="맑은 고딕"/>
        <family val="0"/>
        <charset val="1"/>
      </rPr>
      <t xml:space="preserve">| </t>
    </r>
    <r>
      <rPr>
        <b val="true"/>
        <sz val="11"/>
        <color rgb="FF3A3A3A"/>
        <rFont val="Noto Sans CJK SC"/>
        <family val="2"/>
      </rPr>
      <t xml:space="preserve">기간</t>
    </r>
    <r>
      <rPr>
        <b val="true"/>
        <sz val="11"/>
        <color rgb="FF3A3A3A"/>
        <rFont val="맑은 고딕"/>
        <family val="0"/>
        <charset val="1"/>
      </rPr>
      <t xml:space="preserve">: 2026-10-06 ~ 2026-10-14</t>
    </r>
  </si>
  <si>
    <t xml:space="preserve">WBS ID</t>
  </si>
  <si>
    <t xml:space="preserve">대분류</t>
  </si>
  <si>
    <t xml:space="preserve">중분류</t>
  </si>
  <si>
    <t xml:space="preserve">작업 패키지</t>
  </si>
  <si>
    <t xml:space="preserve">주요 산출물</t>
  </si>
  <si>
    <t xml:space="preserve">담당자</t>
  </si>
  <si>
    <t xml:space="preserve">시작일</t>
  </si>
  <si>
    <t xml:space="preserve">종료일</t>
  </si>
  <si>
    <r>
      <rPr>
        <b val="true"/>
        <sz val="10"/>
        <color rgb="FFFFFFFF"/>
        <rFont val="Noto Sans CJK SC"/>
        <family val="2"/>
      </rPr>
      <t xml:space="preserve">기간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</si>
  <si>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선행 작업</t>
  </si>
  <si>
    <t xml:space="preserve">우선순위</t>
  </si>
  <si>
    <t xml:space="preserve">상태</t>
  </si>
  <si>
    <t xml:space="preserve">진척률</t>
  </si>
  <si>
    <t xml:space="preserve">완료 기준</t>
  </si>
  <si>
    <t xml:space="preserve">비고</t>
  </si>
  <si>
    <t xml:space="preserve">A.1</t>
  </si>
  <si>
    <t xml:space="preserve">프로젝트 관리</t>
  </si>
  <si>
    <t xml:space="preserve">기획</t>
  </si>
  <si>
    <r>
      <rPr>
        <sz val="10"/>
        <rFont val="Noto Sans CJK SC"/>
        <family val="2"/>
      </rPr>
      <t xml:space="preserve">기능 옵션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시나리오 확정</t>
    </r>
  </si>
  <si>
    <r>
      <rPr>
        <sz val="10"/>
        <rFont val="Noto Sans CJK SC"/>
        <family val="2"/>
      </rPr>
      <t xml:space="preserve">옵션 목록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시나리오 흐름</t>
    </r>
  </si>
  <si>
    <t xml:space="preserve">공동</t>
  </si>
  <si>
    <t xml:space="preserve">높음</t>
  </si>
  <si>
    <t xml:space="preserve">완료</t>
  </si>
  <si>
    <r>
      <rPr>
        <sz val="10"/>
        <rFont val="Noto Sans CJK SC"/>
        <family val="2"/>
      </rPr>
      <t xml:space="preserve">주행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종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주차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분할 화면 비교 방식 확정</t>
    </r>
  </si>
  <si>
    <t xml:space="preserve">A.2</t>
  </si>
  <si>
    <t xml:space="preserve">문서</t>
  </si>
  <si>
    <r>
      <rPr>
        <sz val="10"/>
        <rFont val="Noto Sans CJK SC"/>
        <family val="2"/>
      </rPr>
      <t xml:space="preserve">계획서</t>
    </r>
    <r>
      <rPr>
        <sz val="10"/>
        <rFont val="맑은 고딕"/>
        <family val="0"/>
        <charset val="1"/>
      </rPr>
      <t xml:space="preserve">·SRS v0.2·README </t>
    </r>
    <r>
      <rPr>
        <sz val="10"/>
        <rFont val="Noto Sans CJK SC"/>
        <family val="2"/>
      </rPr>
      <t xml:space="preserve">작성</t>
    </r>
  </si>
  <si>
    <t xml:space="preserve">SRS.md, README.md</t>
  </si>
  <si>
    <t xml:space="preserve">김예은</t>
  </si>
  <si>
    <r>
      <rPr>
        <sz val="10"/>
        <rFont val="맑은 고딕"/>
        <family val="0"/>
        <charset val="1"/>
      </rPr>
      <t xml:space="preserve">FR-01~39, NFR-01~09 ID·</t>
    </r>
    <r>
      <rPr>
        <sz val="10"/>
        <rFont val="Noto Sans CJK SC"/>
        <family val="2"/>
      </rPr>
      <t xml:space="preserve">기준 명시</t>
    </r>
  </si>
  <si>
    <t xml:space="preserve">A.3</t>
  </si>
  <si>
    <t xml:space="preserve">설계</t>
  </si>
  <si>
    <r>
      <rPr>
        <sz val="10"/>
        <rFont val="Noto Sans CJK SC"/>
        <family val="2"/>
      </rPr>
      <t xml:space="preserve">공통 구조 확정 </t>
    </r>
    <r>
      <rPr>
        <sz val="10"/>
        <rFont val="맑은 고딕"/>
        <family val="0"/>
        <charset val="1"/>
      </rPr>
      <t xml:space="preserve">(CarConfig </t>
    </r>
    <r>
      <rPr>
        <sz val="10"/>
        <rFont val="Noto Sans CJK SC"/>
        <family val="2"/>
      </rPr>
      <t xml:space="preserve">필드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영역 좌표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레이어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태그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차량 에셋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</si>
  <si>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SRS </t>
    </r>
    <r>
      <rPr>
        <sz val="10"/>
        <rFont val="Noto Sans CJK SC"/>
        <family val="2"/>
      </rPr>
      <t xml:space="preserve">부록 </t>
    </r>
    <r>
      <rPr>
        <sz val="10"/>
        <rFont val="맑은 고딕"/>
        <family val="0"/>
        <charset val="1"/>
      </rPr>
      <t xml:space="preserve">A, </t>
    </r>
    <r>
      <rPr>
        <sz val="10"/>
        <rFont val="Noto Sans CJK SC"/>
        <family val="2"/>
      </rPr>
      <t xml:space="preserve">차량 에셋</t>
    </r>
  </si>
  <si>
    <t xml:space="preserve">미착수</t>
  </si>
  <si>
    <r>
      <rPr>
        <sz val="10"/>
        <rFont val="맑은 고딕"/>
        <family val="0"/>
        <charset val="1"/>
      </rPr>
      <t xml:space="preserve">CarConfig 7</t>
    </r>
    <r>
      <rPr>
        <sz val="10"/>
        <rFont val="Noto Sans CJK SC"/>
        <family val="2"/>
      </rPr>
      <t xml:space="preserve">개 필드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영역 </t>
    </r>
    <r>
      <rPr>
        <sz val="10"/>
        <rFont val="맑은 고딕"/>
        <family val="0"/>
        <charset val="1"/>
      </rPr>
      <t xml:space="preserve">X</t>
    </r>
    <r>
      <rPr>
        <sz val="10"/>
        <rFont val="Noto Sans CJK SC"/>
        <family val="2"/>
      </rPr>
      <t xml:space="preserve">좌표 합의</t>
    </r>
  </si>
  <si>
    <t xml:space="preserve">크리티컬 패스</t>
  </si>
  <si>
    <t xml:space="preserve">A.4</t>
  </si>
  <si>
    <t xml:space="preserve">협업</t>
  </si>
  <si>
    <r>
      <rPr>
        <sz val="10"/>
        <rFont val="맑은 고딕"/>
        <family val="0"/>
        <charset val="1"/>
      </rPr>
      <t xml:space="preserve">GitHub </t>
    </r>
    <r>
      <rPr>
        <sz val="10"/>
        <rFont val="Noto Sans CJK SC"/>
        <family val="2"/>
      </rPr>
      <t xml:space="preserve">저장소</t>
    </r>
    <r>
      <rPr>
        <sz val="10"/>
        <rFont val="맑은 고딕"/>
        <family val="0"/>
        <charset val="1"/>
      </rPr>
      <t xml:space="preserve">·main/dev </t>
    </r>
    <r>
      <rPr>
        <sz val="10"/>
        <rFont val="Noto Sans CJK SC"/>
        <family val="2"/>
      </rPr>
      <t xml:space="preserve">브랜치</t>
    </r>
    <r>
      <rPr>
        <sz val="10"/>
        <rFont val="맑은 고딕"/>
        <family val="0"/>
        <charset val="1"/>
      </rPr>
      <t xml:space="preserve">, .gitignore, Git LFS, Force Text</t>
    </r>
  </si>
  <si>
    <r>
      <rPr>
        <sz val="10"/>
        <rFont val="맑은 고딕"/>
        <family val="0"/>
        <charset val="1"/>
      </rPr>
      <t xml:space="preserve">GitHub </t>
    </r>
    <r>
      <rPr>
        <sz val="10"/>
        <rFont val="Noto Sans CJK SC"/>
        <family val="2"/>
      </rPr>
      <t xml:space="preserve">저장소</t>
    </r>
  </si>
  <si>
    <r>
      <rPr>
        <sz val="10"/>
        <rFont val="Noto Sans CJK SC"/>
        <family val="2"/>
      </rPr>
      <t xml:space="preserve">두 </t>
    </r>
    <r>
      <rPr>
        <sz val="10"/>
        <rFont val="맑은 고딕"/>
        <family val="0"/>
        <charset val="1"/>
      </rPr>
      <t xml:space="preserve">PC</t>
    </r>
    <r>
      <rPr>
        <sz val="10"/>
        <rFont val="Noto Sans CJK SC"/>
        <family val="2"/>
      </rPr>
      <t xml:space="preserve">에서 </t>
    </r>
    <r>
      <rPr>
        <sz val="10"/>
        <rFont val="맑은 고딕"/>
        <family val="0"/>
        <charset val="1"/>
      </rPr>
      <t xml:space="preserve">clone·push </t>
    </r>
    <r>
      <rPr>
        <sz val="10"/>
        <rFont val="Noto Sans CJK SC"/>
        <family val="2"/>
      </rPr>
      <t xml:space="preserve">성공</t>
    </r>
  </si>
  <si>
    <t xml:space="preserve">NFR-08</t>
  </si>
  <si>
    <t xml:space="preserve">A.5</t>
  </si>
  <si>
    <t xml:space="preserve">환경</t>
  </si>
  <si>
    <r>
      <rPr>
        <sz val="10"/>
        <rFont val="맑은 고딕"/>
        <family val="0"/>
        <charset val="1"/>
      </rPr>
      <t xml:space="preserve">Unity </t>
    </r>
    <r>
      <rPr>
        <sz val="10"/>
        <rFont val="Noto Sans CJK SC"/>
        <family val="2"/>
      </rPr>
      <t xml:space="preserve">버전 통일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두 </t>
    </r>
    <r>
      <rPr>
        <sz val="10"/>
        <rFont val="맑은 고딕"/>
        <family val="0"/>
        <charset val="1"/>
      </rPr>
      <t xml:space="preserve">PC</t>
    </r>
    <r>
      <rPr>
        <sz val="10"/>
        <rFont val="Noto Sans CJK SC"/>
        <family val="2"/>
      </rPr>
      <t xml:space="preserve">에서 프로젝트 열기 확인</t>
    </r>
  </si>
  <si>
    <r>
      <rPr>
        <sz val="10"/>
        <rFont val="맑은 고딕"/>
        <family val="0"/>
        <charset val="1"/>
      </rPr>
      <t xml:space="preserve">Unity </t>
    </r>
    <r>
      <rPr>
        <sz val="10"/>
        <rFont val="Noto Sans CJK SC"/>
        <family val="2"/>
      </rPr>
      <t xml:space="preserve">프로젝트</t>
    </r>
  </si>
  <si>
    <t xml:space="preserve">중간</t>
  </si>
  <si>
    <t xml:space="preserve">같은 버전으로 오류 없이 열림</t>
  </si>
  <si>
    <t xml:space="preserve">NFR-07</t>
  </si>
  <si>
    <t xml:space="preserve">A.6</t>
  </si>
  <si>
    <t xml:space="preserve">일정</t>
  </si>
  <si>
    <r>
      <rPr>
        <sz val="10"/>
        <rFont val="맑은 고딕"/>
        <family val="0"/>
        <charset val="1"/>
      </rPr>
      <t xml:space="preserve">WBS·</t>
    </r>
    <r>
      <rPr>
        <sz val="10"/>
        <rFont val="Noto Sans CJK SC"/>
        <family val="2"/>
      </rPr>
      <t xml:space="preserve">간트 관리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매일 </t>
    </r>
    <r>
      <rPr>
        <sz val="10"/>
        <rFont val="맑은 고딕"/>
        <family val="0"/>
        <charset val="1"/>
      </rPr>
      <t xml:space="preserve">19:00 </t>
    </r>
    <r>
      <rPr>
        <sz val="10"/>
        <rFont val="Noto Sans CJK SC"/>
        <family val="2"/>
      </rPr>
      <t xml:space="preserve">진척 갱신</t>
    </r>
  </si>
  <si>
    <r>
      <rPr>
        <sz val="10"/>
        <rFont val="맑은 고딕"/>
        <family val="0"/>
        <charset val="1"/>
      </rPr>
      <t xml:space="preserve">WBS </t>
    </r>
    <r>
      <rPr>
        <sz val="10"/>
        <rFont val="Noto Sans CJK SC"/>
        <family val="2"/>
      </rPr>
      <t xml:space="preserve">엑셀</t>
    </r>
  </si>
  <si>
    <t xml:space="preserve">진행중</t>
  </si>
  <si>
    <r>
      <rPr>
        <sz val="10"/>
        <rFont val="Noto Sans CJK SC"/>
        <family val="2"/>
      </rPr>
      <t xml:space="preserve">매일 상태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진척률 갱신</t>
    </r>
  </si>
  <si>
    <t xml:space="preserve">B.1</t>
  </si>
  <si>
    <t xml:space="preserve">공통 기반</t>
  </si>
  <si>
    <t xml:space="preserve">영역 전환</t>
  </si>
  <si>
    <r>
      <rPr>
        <sz val="10"/>
        <rFont val="맑은 고딕"/>
        <family val="0"/>
        <charset val="1"/>
      </rPr>
      <t xml:space="preserve">MainScene·ModeManager·AreaBase (Additive </t>
    </r>
    <r>
      <rPr>
        <sz val="10"/>
        <rFont val="Noto Sans CJK SC"/>
        <family val="2"/>
      </rPr>
      <t xml:space="preserve">로드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전환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초기화</t>
    </r>
    <r>
      <rPr>
        <sz val="10"/>
        <rFont val="맑은 고딕"/>
        <family val="0"/>
        <charset val="1"/>
      </rPr>
      <t xml:space="preserve">)</t>
    </r>
  </si>
  <si>
    <t xml:space="preserve">ModeManager.cs, AreaBase.cs</t>
  </si>
  <si>
    <r>
      <rPr>
        <sz val="10"/>
        <rFont val="Noto Sans CJK SC"/>
        <family val="2"/>
      </rPr>
      <t xml:space="preserve">버튼으로 영역 전환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초 이내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조명 전환</t>
    </r>
  </si>
  <si>
    <t xml:space="preserve">FR-36~39</t>
  </si>
  <si>
    <t xml:space="preserve">B.2</t>
  </si>
  <si>
    <t xml:space="preserve">차량</t>
  </si>
  <si>
    <r>
      <rPr>
        <sz val="10"/>
        <rFont val="Noto Sans CJK SC"/>
        <family val="2"/>
      </rPr>
      <t xml:space="preserve">공통 차량 프리팹</t>
    </r>
    <r>
      <rPr>
        <sz val="10"/>
        <rFont val="맑은 고딕"/>
        <family val="0"/>
        <charset val="1"/>
      </rPr>
      <t xml:space="preserve">, CarController (WheelCollider, </t>
    </r>
    <r>
      <rPr>
        <sz val="10"/>
        <rFont val="Noto Sans CJK SC"/>
        <family val="2"/>
      </rPr>
      <t xml:space="preserve">스크립트 입력</t>
    </r>
    <r>
      <rPr>
        <sz val="10"/>
        <rFont val="맑은 고딕"/>
        <family val="0"/>
        <charset val="1"/>
      </rPr>
      <t xml:space="preserve">)</t>
    </r>
  </si>
  <si>
    <t xml:space="preserve">Car.prefab, CarController.cs</t>
  </si>
  <si>
    <r>
      <rPr>
        <sz val="10"/>
        <rFont val="Noto Sans CJK SC"/>
        <family val="2"/>
      </rPr>
      <t xml:space="preserve">스크립트 입력으로 가속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조향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제동</t>
    </r>
  </si>
  <si>
    <r>
      <rPr>
        <sz val="10"/>
        <rFont val="Noto Sans CJK SC"/>
        <family val="2"/>
      </rPr>
      <t xml:space="preserve">크리티컬 패스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두 파트 선행</t>
    </r>
  </si>
  <si>
    <t xml:space="preserve">B.3</t>
  </si>
  <si>
    <t xml:space="preserve">UI</t>
  </si>
  <si>
    <r>
      <rPr>
        <sz val="10"/>
        <rFont val="맑은 고딕"/>
        <family val="0"/>
        <charset val="1"/>
      </rPr>
      <t xml:space="preserve">ConfiguratorArea </t>
    </r>
    <r>
      <rPr>
        <sz val="10"/>
        <rFont val="Noto Sans CJK SC"/>
        <family val="2"/>
      </rPr>
      <t xml:space="preserve">쇼룸</t>
    </r>
    <r>
      <rPr>
        <sz val="10"/>
        <rFont val="맑은 고딕"/>
        <family val="0"/>
        <charset val="1"/>
      </rPr>
      <t xml:space="preserve">, UI-01 </t>
    </r>
    <r>
      <rPr>
        <sz val="10"/>
        <rFont val="Noto Sans CJK SC"/>
        <family val="2"/>
      </rPr>
      <t xml:space="preserve">외관 선택</t>
    </r>
    <r>
      <rPr>
        <sz val="10"/>
        <rFont val="맑은 고딕"/>
        <family val="0"/>
        <charset val="1"/>
      </rPr>
      <t xml:space="preserve">, UI-02 </t>
    </r>
    <r>
      <rPr>
        <sz val="10"/>
        <rFont val="Noto Sans CJK SC"/>
        <family val="2"/>
      </rPr>
      <t xml:space="preserve">기능 선택</t>
    </r>
  </si>
  <si>
    <t xml:space="preserve">ConfiguratorArea.unity</t>
  </si>
  <si>
    <t xml:space="preserve">강유나</t>
  </si>
  <si>
    <r>
      <rPr>
        <sz val="10"/>
        <rFont val="Noto Sans CJK SC"/>
        <family val="2"/>
      </rPr>
      <t xml:space="preserve">외관 버튼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기능 체크박스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시작 버튼 동작</t>
    </r>
  </si>
  <si>
    <t xml:space="preserve">FR-04~06</t>
  </si>
  <si>
    <t xml:space="preserve">B.4</t>
  </si>
  <si>
    <t xml:space="preserve">외관</t>
  </si>
  <si>
    <r>
      <rPr>
        <sz val="10"/>
        <rFont val="맑은 고딕"/>
        <family val="0"/>
        <charset val="1"/>
      </rPr>
      <t xml:space="preserve">CarConfig, CarAppearance (</t>
    </r>
    <r>
      <rPr>
        <sz val="10"/>
        <rFont val="Noto Sans CJK SC"/>
        <family val="2"/>
      </rPr>
      <t xml:space="preserve">색상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트림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휠</t>
    </r>
    <r>
      <rPr>
        <sz val="10"/>
        <rFont val="맑은 고딕"/>
        <family val="0"/>
        <charset val="1"/>
      </rPr>
      <t xml:space="preserve">)</t>
    </r>
  </si>
  <si>
    <t xml:space="preserve">CarConfig.cs, CarAppearance.cs</t>
  </si>
  <si>
    <r>
      <rPr>
        <sz val="10"/>
        <rFont val="Noto Sans CJK SC"/>
        <family val="2"/>
      </rPr>
      <t xml:space="preserve">색상 </t>
    </r>
    <r>
      <rPr>
        <sz val="10"/>
        <rFont val="맑은 고딕"/>
        <family val="0"/>
        <charset val="1"/>
      </rPr>
      <t xml:space="preserve">0.5</t>
    </r>
    <r>
      <rPr>
        <sz val="10"/>
        <rFont val="Noto Sans CJK SC"/>
        <family val="2"/>
      </rPr>
      <t xml:space="preserve">초 이내 변경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트림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휠 교체</t>
    </r>
  </si>
  <si>
    <t xml:space="preserve">FR-01~03</t>
  </si>
  <si>
    <t xml:space="preserve">B.5</t>
  </si>
  <si>
    <t xml:space="preserve">카메라</t>
  </si>
  <si>
    <t xml:space="preserve">SplitScreenManager, CameraSwitcher</t>
  </si>
  <si>
    <t xml:space="preserve">SplitScreenManager.cs, CameraSwitcher.cs</t>
  </si>
  <si>
    <t xml:space="preserve">B.1;B.2</t>
  </si>
  <si>
    <r>
      <rPr>
        <sz val="10"/>
        <rFont val="Noto Sans CJK SC"/>
        <family val="2"/>
      </rPr>
      <t xml:space="preserve">좌우 분할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양쪽 시점 동시 전환</t>
    </r>
  </si>
  <si>
    <t xml:space="preserve">FR-11, FR-12</t>
  </si>
  <si>
    <t xml:space="preserve">B.6</t>
  </si>
  <si>
    <t xml:space="preserve">통합</t>
  </si>
  <si>
    <r>
      <rPr>
        <sz val="10"/>
        <rFont val="Noto Sans CJK SC"/>
        <family val="2"/>
      </rPr>
      <t xml:space="preserve">공통 기반 </t>
    </r>
    <r>
      <rPr>
        <sz val="10"/>
        <rFont val="맑은 고딕"/>
        <family val="0"/>
        <charset val="1"/>
      </rPr>
      <t xml:space="preserve">dev </t>
    </r>
    <r>
      <rPr>
        <sz val="10"/>
        <rFont val="Noto Sans CJK SC"/>
        <family val="2"/>
      </rPr>
      <t xml:space="preserve">병합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두 </t>
    </r>
    <r>
      <rPr>
        <sz val="10"/>
        <rFont val="맑은 고딕"/>
        <family val="0"/>
        <charset val="1"/>
      </rPr>
      <t xml:space="preserve">PC</t>
    </r>
    <r>
      <rPr>
        <sz val="10"/>
        <rFont val="Noto Sans CJK SC"/>
        <family val="2"/>
      </rPr>
      <t xml:space="preserve">에서 모드 전환 확인</t>
    </r>
  </si>
  <si>
    <r>
      <rPr>
        <sz val="10"/>
        <rFont val="맑은 고딕"/>
        <family val="0"/>
        <charset val="1"/>
      </rPr>
      <t xml:space="preserve">dev </t>
    </r>
    <r>
      <rPr>
        <sz val="10"/>
        <rFont val="Noto Sans CJK SC"/>
        <family val="2"/>
      </rPr>
      <t xml:space="preserve">브랜치</t>
    </r>
  </si>
  <si>
    <t xml:space="preserve">B.1;B.2;B.3;B.4</t>
  </si>
  <si>
    <r>
      <rPr>
        <sz val="10"/>
        <rFont val="Noto Sans CJK SC"/>
        <family val="2"/>
      </rPr>
      <t xml:space="preserve">두 </t>
    </r>
    <r>
      <rPr>
        <sz val="10"/>
        <rFont val="맑은 고딕"/>
        <family val="0"/>
        <charset val="1"/>
      </rPr>
      <t xml:space="preserve">PC </t>
    </r>
    <r>
      <rPr>
        <sz val="10"/>
        <rFont val="Noto Sans CJK SC"/>
        <family val="2"/>
      </rPr>
      <t xml:space="preserve">모두 모드 전환 동작</t>
    </r>
  </si>
  <si>
    <t xml:space="preserve">M2</t>
  </si>
  <si>
    <t xml:space="preserve">C.1</t>
  </si>
  <si>
    <t xml:space="preserve">주행 기능</t>
  </si>
  <si>
    <t xml:space="preserve">맵</t>
  </si>
  <si>
    <r>
      <rPr>
        <sz val="10"/>
        <rFont val="맑은 고딕"/>
        <family val="0"/>
        <charset val="1"/>
      </rPr>
      <t xml:space="preserve">DrivingArea: </t>
    </r>
    <r>
      <rPr>
        <sz val="10"/>
        <rFont val="Noto Sans CJK SC"/>
        <family val="2"/>
      </rPr>
      <t xml:space="preserve">야간 도로 코스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보행자 트리거</t>
    </r>
  </si>
  <si>
    <t xml:space="preserve">DrivingArea.unity, Pedestrian.prefab</t>
  </si>
  <si>
    <r>
      <rPr>
        <sz val="10"/>
        <rFont val="Noto Sans CJK SC"/>
        <family val="2"/>
      </rPr>
      <t xml:space="preserve">코스 </t>
    </r>
    <r>
      <rPr>
        <sz val="10"/>
        <rFont val="맑은 고딕"/>
        <family val="0"/>
        <charset val="1"/>
      </rPr>
      <t xml:space="preserve">A·B </t>
    </r>
    <r>
      <rPr>
        <sz val="10"/>
        <rFont val="Noto Sans CJK SC"/>
        <family val="2"/>
      </rPr>
      <t xml:space="preserve">동일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헤드램프 </t>
    </r>
    <r>
      <rPr>
        <sz val="10"/>
        <rFont val="맑은 고딕"/>
        <family val="0"/>
        <charset val="1"/>
      </rPr>
      <t xml:space="preserve">50m</t>
    </r>
  </si>
  <si>
    <t xml:space="preserve">FR-08</t>
  </si>
  <si>
    <t xml:space="preserve">C.2</t>
  </si>
  <si>
    <t xml:space="preserve">나이트 비전</t>
  </si>
  <si>
    <r>
      <rPr>
        <sz val="10"/>
        <rFont val="맑은 고딕"/>
        <family val="0"/>
        <charset val="1"/>
      </rPr>
      <t xml:space="preserve">NightVisionSensor: 120m </t>
    </r>
    <r>
      <rPr>
        <sz val="10"/>
        <rFont val="Noto Sans CJK SC"/>
        <family val="2"/>
      </rPr>
      <t xml:space="preserve">감지</t>
    </r>
    <r>
      <rPr>
        <sz val="10"/>
        <rFont val="맑은 고딕"/>
        <family val="0"/>
        <charset val="1"/>
      </rPr>
      <t xml:space="preserve">, TTC, </t>
    </r>
    <r>
      <rPr>
        <sz val="10"/>
        <rFont val="Noto Sans CJK SC"/>
        <family val="2"/>
      </rPr>
      <t xml:space="preserve">경고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감속</t>
    </r>
  </si>
  <si>
    <t xml:space="preserve">NightVisionSensor.cs</t>
  </si>
  <si>
    <r>
      <rPr>
        <sz val="10"/>
        <rFont val="맑은 고딕"/>
        <family val="0"/>
        <charset val="1"/>
      </rPr>
      <t xml:space="preserve">TTC 4</t>
    </r>
    <r>
      <rPr>
        <sz val="10"/>
        <rFont val="Noto Sans CJK SC"/>
        <family val="2"/>
      </rPr>
      <t xml:space="preserve">초 경고</t>
    </r>
    <r>
      <rPr>
        <sz val="10"/>
        <rFont val="맑은 고딕"/>
        <family val="0"/>
        <charset val="1"/>
      </rPr>
      <t xml:space="preserve">, 2.5</t>
    </r>
    <r>
      <rPr>
        <sz val="10"/>
        <rFont val="Noto Sans CJK SC"/>
        <family val="2"/>
      </rPr>
      <t xml:space="preserve">초 감속</t>
    </r>
    <r>
      <rPr>
        <sz val="10"/>
        <rFont val="맑은 고딕"/>
        <family val="0"/>
        <charset val="1"/>
      </rPr>
      <t xml:space="preserve">, 10m </t>
    </r>
    <r>
      <rPr>
        <sz val="10"/>
        <rFont val="Noto Sans CJK SC"/>
        <family val="2"/>
      </rPr>
      <t xml:space="preserve">이상 앞 정지</t>
    </r>
  </si>
  <si>
    <t xml:space="preserve">FR-15, FR-17</t>
  </si>
  <si>
    <t xml:space="preserve">C.3</t>
  </si>
  <si>
    <r>
      <rPr>
        <sz val="10"/>
        <rFont val="맑은 고딕"/>
        <family val="0"/>
        <charset val="1"/>
      </rPr>
      <t xml:space="preserve">NightVisionDisplay: </t>
    </r>
    <r>
      <rPr>
        <sz val="10"/>
        <rFont val="Noto Sans CJK SC"/>
        <family val="2"/>
      </rPr>
      <t xml:space="preserve">적외선 화면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노란 박스</t>
    </r>
  </si>
  <si>
    <t xml:space="preserve">NightVisionDisplay.cs</t>
  </si>
  <si>
    <t xml:space="preserve">클러스터 흑백 화면에 보행자 박스</t>
  </si>
  <si>
    <t xml:space="preserve">FR-16</t>
  </si>
  <si>
    <t xml:space="preserve">C.4</t>
  </si>
  <si>
    <r>
      <rPr>
        <sz val="10"/>
        <rFont val="Noto Sans CJK SC"/>
        <family val="2"/>
      </rPr>
      <t xml:space="preserve">미적용 차량 가상 운전자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반응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초 후 급제동</t>
    </r>
    <r>
      <rPr>
        <sz val="10"/>
        <rFont val="맑은 고딕"/>
        <family val="0"/>
        <charset val="1"/>
      </rPr>
      <t xml:space="preserve">)</t>
    </r>
  </si>
  <si>
    <t xml:space="preserve">VirtualDriver.cs</t>
  </si>
  <si>
    <r>
      <rPr>
        <sz val="10"/>
        <rFont val="Noto Sans CJK SC"/>
        <family val="2"/>
      </rPr>
      <t xml:space="preserve">보행자 </t>
    </r>
    <r>
      <rPr>
        <sz val="10"/>
        <rFont val="맑은 고딕"/>
        <family val="0"/>
        <charset val="1"/>
      </rPr>
      <t xml:space="preserve">50m </t>
    </r>
    <r>
      <rPr>
        <sz val="10"/>
        <rFont val="Noto Sans CJK SC"/>
        <family val="2"/>
      </rPr>
      <t xml:space="preserve">진입 후에야 감속</t>
    </r>
  </si>
  <si>
    <t xml:space="preserve">TC-07</t>
  </si>
  <si>
    <t xml:space="preserve">C.5</t>
  </si>
  <si>
    <t xml:space="preserve">시각화</t>
  </si>
  <si>
    <r>
      <rPr>
        <sz val="10"/>
        <rFont val="맑은 고딕"/>
        <family val="0"/>
        <charset val="1"/>
      </rPr>
      <t xml:space="preserve">BirdViewOverlay: </t>
    </r>
    <r>
      <rPr>
        <sz val="10"/>
        <rFont val="Noto Sans CJK SC"/>
        <family val="2"/>
      </rPr>
      <t xml:space="preserve">헤드램프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적외선 원뿔</t>
    </r>
  </si>
  <si>
    <t xml:space="preserve">BirdViewOverlay.cs</t>
  </si>
  <si>
    <r>
      <rPr>
        <sz val="10"/>
        <rFont val="Noto Sans CJK SC"/>
        <family val="2"/>
      </rPr>
      <t xml:space="preserve">버드뷰에 원뿔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개 표시</t>
    </r>
  </si>
  <si>
    <t xml:space="preserve">FR-18</t>
  </si>
  <si>
    <t xml:space="preserve">C.6</t>
  </si>
  <si>
    <r>
      <rPr>
        <sz val="10"/>
        <rFont val="Noto Sans CJK SC"/>
        <family val="2"/>
      </rPr>
      <t xml:space="preserve">골목 맵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회전 궤적 측정 후 골목 폭 확정</t>
    </r>
  </si>
  <si>
    <t xml:space="preserve">DrivingArea.unity</t>
  </si>
  <si>
    <r>
      <rPr>
        <sz val="10"/>
        <rFont val="맑은 고딕"/>
        <family val="0"/>
        <charset val="1"/>
      </rPr>
      <t xml:space="preserve">OFF</t>
    </r>
    <r>
      <rPr>
        <sz val="10"/>
        <rFont val="Noto Sans CJK SC"/>
        <family val="2"/>
      </rPr>
      <t xml:space="preserve">는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점 턴</t>
    </r>
    <r>
      <rPr>
        <sz val="10"/>
        <rFont val="맑은 고딕"/>
        <family val="0"/>
        <charset val="1"/>
      </rPr>
      <t xml:space="preserve">, ON</t>
    </r>
    <r>
      <rPr>
        <sz val="10"/>
        <rFont val="Noto Sans CJK SC"/>
        <family val="2"/>
      </rPr>
      <t xml:space="preserve">은 한 번에 유턴 가능한 폭</t>
    </r>
  </si>
  <si>
    <t xml:space="preserve">FR-21</t>
  </si>
  <si>
    <t xml:space="preserve">C.7</t>
  </si>
  <si>
    <t xml:space="preserve">후륜 조향</t>
  </si>
  <si>
    <r>
      <rPr>
        <sz val="10"/>
        <rFont val="맑은 고딕"/>
        <family val="0"/>
        <charset val="1"/>
      </rPr>
      <t xml:space="preserve">RearWheelSteering: </t>
    </r>
    <r>
      <rPr>
        <sz val="10"/>
        <rFont val="Noto Sans CJK SC"/>
        <family val="2"/>
      </rPr>
      <t xml:space="preserve">역위상 </t>
    </r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도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미적용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점 턴</t>
    </r>
  </si>
  <si>
    <t xml:space="preserve">RearWheelSteering.cs</t>
  </si>
  <si>
    <r>
      <rPr>
        <sz val="10"/>
        <rFont val="맑은 고딕"/>
        <family val="0"/>
        <charset val="1"/>
      </rPr>
      <t xml:space="preserve">ON </t>
    </r>
    <r>
      <rPr>
        <sz val="10"/>
        <rFont val="Noto Sans CJK SC"/>
        <family val="2"/>
      </rPr>
      <t xml:space="preserve">전진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  <r>
      <rPr>
        <sz val="10"/>
        <rFont val="맑은 고딕"/>
        <family val="0"/>
        <charset val="1"/>
      </rPr>
      <t xml:space="preserve">, OFF 3</t>
    </r>
    <r>
      <rPr>
        <sz val="10"/>
        <rFont val="Noto Sans CJK SC"/>
        <family val="2"/>
      </rPr>
      <t xml:space="preserve">회 이상 유턴</t>
    </r>
  </si>
  <si>
    <t xml:space="preserve">FR-20, FR-21</t>
  </si>
  <si>
    <t xml:space="preserve">C.8</t>
  </si>
  <si>
    <r>
      <rPr>
        <sz val="10"/>
        <rFont val="Noto Sans CJK SC"/>
        <family val="2"/>
      </rPr>
      <t xml:space="preserve">회전 반경 표시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궤적 선</t>
    </r>
    <r>
      <rPr>
        <sz val="10"/>
        <rFont val="맑은 고딕"/>
        <family val="0"/>
        <charset val="1"/>
      </rPr>
      <t xml:space="preserve">, ICR </t>
    </r>
    <r>
      <rPr>
        <sz val="10"/>
        <rFont val="Noto Sans CJK SC"/>
        <family val="2"/>
      </rPr>
      <t xml:space="preserve">점</t>
    </r>
  </si>
  <si>
    <r>
      <rPr>
        <sz val="10"/>
        <rFont val="Noto Sans CJK SC"/>
        <family val="2"/>
      </rPr>
      <t xml:space="preserve">표시 반경과 실제 궤적 오차 </t>
    </r>
    <r>
      <rPr>
        <sz val="10"/>
        <rFont val="맑은 고딕"/>
        <family val="0"/>
        <charset val="1"/>
      </rPr>
      <t xml:space="preserve">10% </t>
    </r>
    <r>
      <rPr>
        <sz val="10"/>
        <rFont val="Noto Sans CJK SC"/>
        <family val="2"/>
      </rPr>
      <t xml:space="preserve">이내</t>
    </r>
  </si>
  <si>
    <t xml:space="preserve">FR-22, FR-23</t>
  </si>
  <si>
    <t xml:space="preserve">C.9</t>
  </si>
  <si>
    <t xml:space="preserve">추가</t>
  </si>
  <si>
    <r>
      <rPr>
        <sz val="10"/>
        <rFont val="맑은 고딕"/>
        <family val="0"/>
        <charset val="1"/>
      </rPr>
      <t xml:space="preserve">(Should) </t>
    </r>
    <r>
      <rPr>
        <sz val="10"/>
        <rFont val="Noto Sans CJK SC"/>
        <family val="2"/>
      </rPr>
      <t xml:space="preserve">거리</t>
    </r>
    <r>
      <rPr>
        <sz val="10"/>
        <rFont val="맑은 고딕"/>
        <family val="0"/>
        <charset val="1"/>
      </rPr>
      <t xml:space="preserve">·TTC </t>
    </r>
    <r>
      <rPr>
        <sz val="10"/>
        <rFont val="Noto Sans CJK SC"/>
        <family val="2"/>
      </rPr>
      <t xml:space="preserve">표시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동위상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도</t>
    </r>
  </si>
  <si>
    <t xml:space="preserve">-</t>
  </si>
  <si>
    <r>
      <rPr>
        <sz val="10"/>
        <rFont val="Noto Sans CJK SC"/>
        <family val="2"/>
      </rPr>
      <t xml:space="preserve">수치 </t>
    </r>
    <r>
      <rPr>
        <sz val="10"/>
        <rFont val="맑은 고딕"/>
        <family val="0"/>
        <charset val="1"/>
      </rPr>
      <t xml:space="preserve">UI </t>
    </r>
    <r>
      <rPr>
        <sz val="10"/>
        <rFont val="Noto Sans CJK SC"/>
        <family val="2"/>
      </rPr>
      <t xml:space="preserve">표시</t>
    </r>
    <r>
      <rPr>
        <sz val="10"/>
        <rFont val="맑은 고딕"/>
        <family val="0"/>
        <charset val="1"/>
      </rPr>
      <t xml:space="preserve">, 60km/h </t>
    </r>
    <r>
      <rPr>
        <sz val="10"/>
        <rFont val="Noto Sans CJK SC"/>
        <family val="2"/>
      </rPr>
      <t xml:space="preserve">이상 동위상</t>
    </r>
  </si>
  <si>
    <t xml:space="preserve">FR-19, FR-24</t>
  </si>
  <si>
    <t xml:space="preserve">C.10</t>
  </si>
  <si>
    <r>
      <rPr>
        <sz val="10"/>
        <rFont val="맑은 고딕"/>
        <family val="0"/>
        <charset val="1"/>
      </rPr>
      <t xml:space="preserve">(Could) </t>
    </r>
    <r>
      <rPr>
        <sz val="10"/>
        <rFont val="Noto Sans CJK SC"/>
        <family val="2"/>
      </rPr>
      <t xml:space="preserve">뒷바퀴 조향각 아이콘</t>
    </r>
  </si>
  <si>
    <t xml:space="preserve">낮음</t>
  </si>
  <si>
    <t xml:space="preserve">보류</t>
  </si>
  <si>
    <t xml:space="preserve">클러스터 아이콘 표시</t>
  </si>
  <si>
    <t xml:space="preserve">FR-25</t>
  </si>
  <si>
    <t xml:space="preserve">D.1</t>
  </si>
  <si>
    <t xml:space="preserve">주차 기능</t>
  </si>
  <si>
    <r>
      <rPr>
        <sz val="10"/>
        <rFont val="맑은 고딕"/>
        <family val="0"/>
        <charset val="1"/>
      </rPr>
      <t xml:space="preserve">ParkingArea: </t>
    </r>
    <r>
      <rPr>
        <sz val="10"/>
        <rFont val="Noto Sans CJK SC"/>
        <family val="2"/>
      </rPr>
      <t xml:space="preserve">주차장 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벌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조명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격자 맵</t>
    </r>
  </si>
  <si>
    <t xml:space="preserve">ParkingArea.unity, GridMap.cs</t>
  </si>
  <si>
    <r>
      <rPr>
        <sz val="10"/>
        <rFont val="Noto Sans CJK SC"/>
        <family val="2"/>
      </rPr>
      <t xml:space="preserve">주차장 </t>
    </r>
    <r>
      <rPr>
        <sz val="10"/>
        <rFont val="맑은 고딕"/>
        <family val="0"/>
        <charset val="1"/>
      </rPr>
      <t xml:space="preserve">A·B </t>
    </r>
    <r>
      <rPr>
        <sz val="10"/>
        <rFont val="Noto Sans CJK SC"/>
        <family val="2"/>
      </rPr>
      <t xml:space="preserve">동일 격자</t>
    </r>
  </si>
  <si>
    <t xml:space="preserve">FR-09</t>
  </si>
  <si>
    <t xml:space="preserve">D.2</t>
  </si>
  <si>
    <t xml:space="preserve">발렛</t>
  </si>
  <si>
    <r>
      <rPr>
        <sz val="10"/>
        <rFont val="맑은 고딕"/>
        <family val="0"/>
        <charset val="1"/>
      </rPr>
      <t xml:space="preserve">A* </t>
    </r>
    <r>
      <rPr>
        <sz val="10"/>
        <rFont val="Noto Sans CJK SC"/>
        <family val="2"/>
      </rPr>
      <t xml:space="preserve">경로 계획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빈 주차면 배정</t>
    </r>
  </si>
  <si>
    <t xml:space="preserve">AStarPlanner.cs</t>
  </si>
  <si>
    <t xml:space="preserve">배정 주차면까지 경로 생성</t>
  </si>
  <si>
    <t xml:space="preserve">FR-26</t>
  </si>
  <si>
    <t xml:space="preserve">D.3</t>
  </si>
  <si>
    <r>
      <rPr>
        <sz val="10"/>
        <rFont val="Noto Sans CJK SC"/>
        <family val="2"/>
      </rPr>
      <t xml:space="preserve">예약 테이블 </t>
    </r>
    <r>
      <rPr>
        <sz val="10"/>
        <rFont val="맑은 고딕"/>
        <family val="0"/>
        <charset val="1"/>
      </rPr>
      <t xml:space="preserve">ON·OFF</t>
    </r>
  </si>
  <si>
    <t xml:space="preserve">ReservationTable.cs</t>
  </si>
  <si>
    <r>
      <rPr>
        <sz val="10"/>
        <rFont val="맑은 고딕"/>
        <family val="0"/>
        <charset val="1"/>
      </rPr>
      <t xml:space="preserve">ON </t>
    </r>
    <r>
      <rPr>
        <sz val="10"/>
        <rFont val="Noto Sans CJK SC"/>
        <family val="2"/>
      </rPr>
      <t xml:space="preserve">충돌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회</t>
    </r>
    <r>
      <rPr>
        <sz val="10"/>
        <rFont val="맑은 고딕"/>
        <family val="0"/>
        <charset val="1"/>
      </rPr>
      <t xml:space="preserve">, OFF </t>
    </r>
    <r>
      <rPr>
        <sz val="10"/>
        <rFont val="Noto Sans CJK SC"/>
        <family val="2"/>
      </rPr>
      <t xml:space="preserve">겹침 정지 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회 이상</t>
    </r>
  </si>
  <si>
    <t xml:space="preserve">FR-27, FR-28</t>
  </si>
  <si>
    <t xml:space="preserve">D.4</t>
  </si>
  <si>
    <t xml:space="preserve">버드뷰 예약 셀 차량 색 표시</t>
  </si>
  <si>
    <t xml:space="preserve">차량별 예약 셀 색 표시</t>
  </si>
  <si>
    <t xml:space="preserve">FR-29</t>
  </si>
  <si>
    <t xml:space="preserve">D.5</t>
  </si>
  <si>
    <t xml:space="preserve">원격 주차</t>
  </si>
  <si>
    <r>
      <rPr>
        <sz val="10"/>
        <rFont val="Noto Sans CJK SC"/>
        <family val="2"/>
      </rPr>
      <t xml:space="preserve">스마트키 원격 주차</t>
    </r>
    <r>
      <rPr>
        <sz val="10"/>
        <rFont val="맑은 고딕"/>
        <family val="0"/>
        <charset val="1"/>
      </rPr>
      <t xml:space="preserve">, UI-06, 0.2</t>
    </r>
    <r>
      <rPr>
        <sz val="10"/>
        <rFont val="Noto Sans CJK SC"/>
        <family val="2"/>
      </rPr>
      <t xml:space="preserve">초 정지</t>
    </r>
  </si>
  <si>
    <t xml:space="preserve">RemoteParking.cs</t>
  </si>
  <si>
    <r>
      <rPr>
        <sz val="10"/>
        <rFont val="Noto Sans CJK SC"/>
        <family val="2"/>
      </rPr>
      <t xml:space="preserve">버튼 누르는 동안 이동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떼면 </t>
    </r>
    <r>
      <rPr>
        <sz val="10"/>
        <rFont val="맑은 고딕"/>
        <family val="0"/>
        <charset val="1"/>
      </rPr>
      <t xml:space="preserve">0.2</t>
    </r>
    <r>
      <rPr>
        <sz val="10"/>
        <rFont val="Noto Sans CJK SC"/>
        <family val="2"/>
      </rPr>
      <t xml:space="preserve">초 내 정지</t>
    </r>
  </si>
  <si>
    <t xml:space="preserve">FR-31, FR-32</t>
  </si>
  <si>
    <t xml:space="preserve">D.6</t>
  </si>
  <si>
    <r>
      <rPr>
        <sz val="10"/>
        <rFont val="Noto Sans CJK SC"/>
        <family val="2"/>
      </rPr>
      <t xml:space="preserve">장애물 </t>
    </r>
    <r>
      <rPr>
        <sz val="10"/>
        <rFont val="맑은 고딕"/>
        <family val="0"/>
        <charset val="1"/>
      </rPr>
      <t xml:space="preserve">0.3m </t>
    </r>
    <r>
      <rPr>
        <sz val="10"/>
        <rFont val="Noto Sans CJK SC"/>
        <family val="2"/>
      </rPr>
      <t xml:space="preserve">정지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문 열림 공간 부족 표시</t>
    </r>
  </si>
  <si>
    <r>
      <rPr>
        <sz val="10"/>
        <rFont val="맑은 고딕"/>
        <family val="0"/>
        <charset val="1"/>
      </rPr>
      <t xml:space="preserve">OFF </t>
    </r>
    <r>
      <rPr>
        <sz val="10"/>
        <rFont val="Noto Sans CJK SC"/>
        <family val="2"/>
      </rPr>
      <t xml:space="preserve">쪽 문 열림 영역 빨간색</t>
    </r>
  </si>
  <si>
    <t xml:space="preserve">FR-33, FR-34</t>
  </si>
  <si>
    <t xml:space="preserve">D.7</t>
  </si>
  <si>
    <r>
      <rPr>
        <sz val="10"/>
        <rFont val="맑은 고딕"/>
        <family val="0"/>
        <charset val="1"/>
      </rPr>
      <t xml:space="preserve">(Should) </t>
    </r>
    <r>
      <rPr>
        <sz val="10"/>
        <rFont val="Noto Sans CJK SC"/>
        <family val="2"/>
      </rPr>
      <t xml:space="preserve">상태 표시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문 열림 반경</t>
    </r>
  </si>
  <si>
    <r>
      <rPr>
        <sz val="10"/>
        <rFont val="Noto Sans CJK SC"/>
        <family val="2"/>
      </rPr>
      <t xml:space="preserve">남은 거리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대기 상태 표시</t>
    </r>
  </si>
  <si>
    <t xml:space="preserve">FR-30, FR-35</t>
  </si>
  <si>
    <t xml:space="preserve">E.1</t>
  </si>
  <si>
    <r>
      <rPr>
        <sz val="10"/>
        <rFont val="Noto Sans CJK SC"/>
        <family val="2"/>
      </rPr>
      <t xml:space="preserve">통합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시험</t>
    </r>
  </si>
  <si>
    <t xml:space="preserve">시나리오</t>
  </si>
  <si>
    <r>
      <rPr>
        <sz val="10"/>
        <rFont val="Noto Sans CJK SC"/>
        <family val="2"/>
      </rPr>
      <t xml:space="preserve">주행 </t>
    </r>
    <r>
      <rPr>
        <sz val="10"/>
        <rFont val="맑은 고딕"/>
        <family val="0"/>
        <charset val="1"/>
      </rPr>
      <t xml:space="preserve">ScenarioManager, </t>
    </r>
    <r>
      <rPr>
        <sz val="10"/>
        <rFont val="Noto Sans CJK SC"/>
        <family val="2"/>
      </rPr>
      <t xml:space="preserve">두 차량 동시 출발</t>
    </r>
  </si>
  <si>
    <t xml:space="preserve">DrivingScenario.cs</t>
  </si>
  <si>
    <r>
      <rPr>
        <sz val="10"/>
        <rFont val="Noto Sans CJK SC"/>
        <family val="2"/>
      </rPr>
      <t xml:space="preserve">출발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골목 유턴까지 끊김 없음</t>
    </r>
  </si>
  <si>
    <t xml:space="preserve">FR-11, NFR-02</t>
  </si>
  <si>
    <t xml:space="preserve">E.2</t>
  </si>
  <si>
    <r>
      <rPr>
        <sz val="10"/>
        <rFont val="Noto Sans CJK SC"/>
        <family val="2"/>
      </rPr>
      <t xml:space="preserve">주차 </t>
    </r>
    <r>
      <rPr>
        <sz val="10"/>
        <rFont val="맑은 고딕"/>
        <family val="0"/>
        <charset val="1"/>
      </rPr>
      <t xml:space="preserve">ScenarioManager</t>
    </r>
  </si>
  <si>
    <t xml:space="preserve">ParkingScenario.cs</t>
  </si>
  <si>
    <r>
      <rPr>
        <sz val="10"/>
        <rFont val="Noto Sans CJK SC"/>
        <family val="2"/>
      </rPr>
      <t xml:space="preserve">발렛</t>
    </r>
    <r>
      <rPr>
        <sz val="10"/>
        <rFont val="맑은 고딕"/>
        <family val="0"/>
        <charset val="1"/>
      </rPr>
      <t xml:space="preserve">~</t>
    </r>
    <r>
      <rPr>
        <sz val="10"/>
        <rFont val="Noto Sans CJK SC"/>
        <family val="2"/>
      </rPr>
      <t xml:space="preserve">원격 주차까지 끊김 없음</t>
    </r>
  </si>
  <si>
    <t xml:space="preserve">E.3</t>
  </si>
  <si>
    <r>
      <rPr>
        <sz val="10"/>
        <rFont val="Noto Sans CJK SC"/>
        <family val="2"/>
      </rPr>
      <t xml:space="preserve">모드 전환 통합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반복 전환 시 초기화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조명</t>
    </r>
    <r>
      <rPr>
        <sz val="10"/>
        <rFont val="맑은 고딕"/>
        <family val="0"/>
        <charset val="1"/>
      </rPr>
      <t xml:space="preserve">)</t>
    </r>
  </si>
  <si>
    <t xml:space="preserve">E.1;E.2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</si>
  <si>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회 연속 실행 시 시작 상태 동일</t>
    </r>
  </si>
  <si>
    <t xml:space="preserve">FR-37~39, TC-18</t>
  </si>
  <si>
    <t xml:space="preserve">E.4</t>
  </si>
  <si>
    <r>
      <rPr>
        <sz val="10"/>
        <rFont val="맑은 고딕"/>
        <family val="0"/>
        <charset val="1"/>
      </rPr>
      <t xml:space="preserve">(Could) </t>
    </r>
    <r>
      <rPr>
        <sz val="10"/>
        <rFont val="Noto Sans CJK SC"/>
        <family val="2"/>
      </rPr>
      <t xml:space="preserve">결과 패널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일시정지</t>
    </r>
  </si>
  <si>
    <t xml:space="preserve">UI-05</t>
  </si>
  <si>
    <t xml:space="preserve">결과 요약 표시</t>
  </si>
  <si>
    <t xml:space="preserve">FR-13, FR-14</t>
  </si>
  <si>
    <t xml:space="preserve">E.5</t>
  </si>
  <si>
    <t xml:space="preserve">시험</t>
  </si>
  <si>
    <r>
      <rPr>
        <sz val="10"/>
        <rFont val="Noto Sans CJK SC"/>
        <family val="2"/>
      </rPr>
      <t xml:space="preserve">주행 </t>
    </r>
    <r>
      <rPr>
        <sz val="10"/>
        <rFont val="맑은 고딕"/>
        <family val="0"/>
        <charset val="1"/>
      </rPr>
      <t xml:space="preserve">TC </t>
    </r>
    <r>
      <rPr>
        <sz val="10"/>
        <rFont val="Noto Sans CJK SC"/>
        <family val="2"/>
      </rPr>
      <t xml:space="preserve">수행 </t>
    </r>
    <r>
      <rPr>
        <sz val="10"/>
        <rFont val="맑은 고딕"/>
        <family val="0"/>
        <charset val="1"/>
      </rPr>
      <t xml:space="preserve">(TC-02~10)</t>
    </r>
  </si>
  <si>
    <r>
      <rPr>
        <sz val="10"/>
        <rFont val="맑은 고딕"/>
        <family val="0"/>
        <charset val="1"/>
      </rPr>
      <t xml:space="preserve">SRS 7.2 </t>
    </r>
    <r>
      <rPr>
        <sz val="10"/>
        <rFont val="Noto Sans CJK SC"/>
        <family val="2"/>
      </rPr>
      <t xml:space="preserve">결과</t>
    </r>
  </si>
  <si>
    <r>
      <rPr>
        <sz val="10"/>
        <rFont val="맑은 고딕"/>
        <family val="0"/>
        <charset val="1"/>
      </rPr>
      <t xml:space="preserve">Must TC </t>
    </r>
    <r>
      <rPr>
        <sz val="10"/>
        <rFont val="Noto Sans CJK SC"/>
        <family val="2"/>
      </rPr>
      <t xml:space="preserve">전부 </t>
    </r>
    <r>
      <rPr>
        <sz val="10"/>
        <rFont val="맑은 고딕"/>
        <family val="0"/>
        <charset val="1"/>
      </rPr>
      <t xml:space="preserve">PASS</t>
    </r>
  </si>
  <si>
    <t xml:space="preserve">E.6</t>
  </si>
  <si>
    <r>
      <rPr>
        <sz val="10"/>
        <rFont val="Noto Sans CJK SC"/>
        <family val="2"/>
      </rPr>
      <t xml:space="preserve">주차 </t>
    </r>
    <r>
      <rPr>
        <sz val="10"/>
        <rFont val="맑은 고딕"/>
        <family val="0"/>
        <charset val="1"/>
      </rPr>
      <t xml:space="preserve">TC </t>
    </r>
    <r>
      <rPr>
        <sz val="10"/>
        <rFont val="Noto Sans CJK SC"/>
        <family val="2"/>
      </rPr>
      <t xml:space="preserve">수행 </t>
    </r>
    <r>
      <rPr>
        <sz val="10"/>
        <rFont val="맑은 고딕"/>
        <family val="0"/>
        <charset val="1"/>
      </rPr>
      <t xml:space="preserve">(TC-11~15)</t>
    </r>
  </si>
  <si>
    <t xml:space="preserve">E.7</t>
  </si>
  <si>
    <r>
      <rPr>
        <sz val="10"/>
        <rFont val="Noto Sans CJK SC"/>
        <family val="2"/>
      </rPr>
      <t xml:space="preserve">공통 </t>
    </r>
    <r>
      <rPr>
        <sz val="10"/>
        <rFont val="맑은 고딕"/>
        <family val="0"/>
        <charset val="1"/>
      </rPr>
      <t xml:space="preserve">TC (TC-01, 16~18, 20~23): fps, </t>
    </r>
    <r>
      <rPr>
        <sz val="10"/>
        <rFont val="Noto Sans CJK SC"/>
        <family val="2"/>
      </rPr>
      <t xml:space="preserve">재현성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전환 시간</t>
    </r>
  </si>
  <si>
    <t xml:space="preserve">측정 기록</t>
  </si>
  <si>
    <r>
      <rPr>
        <sz val="10"/>
        <rFont val="Noto Sans CJK SC"/>
        <family val="2"/>
      </rPr>
      <t xml:space="preserve">평균 </t>
    </r>
    <r>
      <rPr>
        <sz val="10"/>
        <rFont val="맑은 고딕"/>
        <family val="0"/>
        <charset val="1"/>
      </rPr>
      <t xml:space="preserve">60fps, 5</t>
    </r>
    <r>
      <rPr>
        <sz val="10"/>
        <rFont val="Noto Sans CJK SC"/>
        <family val="2"/>
      </rPr>
      <t xml:space="preserve">회 결과 일치</t>
    </r>
  </si>
  <si>
    <t xml:space="preserve">NFR-01~03, NFR-09</t>
  </si>
  <si>
    <t xml:space="preserve">E.8</t>
  </si>
  <si>
    <t xml:space="preserve">버그 수정</t>
  </si>
  <si>
    <t xml:space="preserve">E.5;E.6;E.7</t>
  </si>
  <si>
    <r>
      <rPr>
        <sz val="10"/>
        <rFont val="Noto Sans CJK SC"/>
        <family val="2"/>
      </rPr>
      <t xml:space="preserve">차단 버그 </t>
    </r>
    <r>
      <rPr>
        <sz val="10"/>
        <rFont val="맑은 고딕"/>
        <family val="0"/>
        <charset val="1"/>
      </rPr>
      <t xml:space="preserve">0</t>
    </r>
    <r>
      <rPr>
        <sz val="10"/>
        <rFont val="Noto Sans CJK SC"/>
        <family val="2"/>
      </rPr>
      <t xml:space="preserve">건</t>
    </r>
  </si>
  <si>
    <t xml:space="preserve">E.9</t>
  </si>
  <si>
    <t xml:space="preserve">빌드</t>
  </si>
  <si>
    <r>
      <rPr>
        <sz val="10"/>
        <rFont val="맑은 고딕"/>
        <family val="0"/>
        <charset val="1"/>
      </rPr>
      <t xml:space="preserve">Windows </t>
    </r>
    <r>
      <rPr>
        <sz val="10"/>
        <rFont val="Noto Sans CJK SC"/>
        <family val="2"/>
      </rPr>
      <t xml:space="preserve">최종 빌드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시연 </t>
    </r>
    <r>
      <rPr>
        <sz val="10"/>
        <rFont val="맑은 고딕"/>
        <family val="0"/>
        <charset val="1"/>
      </rPr>
      <t xml:space="preserve">PC </t>
    </r>
    <r>
      <rPr>
        <sz val="10"/>
        <rFont val="Noto Sans CJK SC"/>
        <family val="2"/>
      </rPr>
      <t xml:space="preserve">확인</t>
    </r>
  </si>
  <si>
    <t xml:space="preserve">실행 파일</t>
  </si>
  <si>
    <r>
      <rPr>
        <sz val="10"/>
        <rFont val="Noto Sans CJK SC"/>
        <family val="2"/>
      </rPr>
      <t xml:space="preserve">시연 </t>
    </r>
    <r>
      <rPr>
        <sz val="10"/>
        <rFont val="맑은 고딕"/>
        <family val="0"/>
        <charset val="1"/>
      </rPr>
      <t xml:space="preserve">PC</t>
    </r>
    <r>
      <rPr>
        <sz val="10"/>
        <rFont val="Noto Sans CJK SC"/>
        <family val="2"/>
      </rPr>
      <t xml:space="preserve">에서 단독 실행</t>
    </r>
  </si>
  <si>
    <t xml:space="preserve">F.1</t>
  </si>
  <si>
    <r>
      <rPr>
        <sz val="10"/>
        <rFont val="Noto Sans CJK SC"/>
        <family val="2"/>
      </rPr>
      <t xml:space="preserve">문서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발표</t>
    </r>
  </si>
  <si>
    <t xml:space="preserve">시연영상</t>
  </si>
  <si>
    <r>
      <rPr>
        <sz val="10"/>
        <rFont val="Noto Sans CJK SC"/>
        <family val="2"/>
      </rPr>
      <t xml:space="preserve">시연 영상 녹화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주행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주차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운전석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버드뷰</t>
    </r>
    <r>
      <rPr>
        <sz val="10"/>
        <rFont val="맑은 고딕"/>
        <family val="0"/>
        <charset val="1"/>
      </rPr>
      <t xml:space="preserve">)</t>
    </r>
  </si>
  <si>
    <t xml:space="preserve">시연 영상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</si>
  <si>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개 기능 </t>
    </r>
    <r>
      <rPr>
        <sz val="10"/>
        <rFont val="맑은 고딕"/>
        <family val="0"/>
        <charset val="1"/>
      </rPr>
      <t xml:space="preserve">ON/OFF </t>
    </r>
    <r>
      <rPr>
        <sz val="10"/>
        <rFont val="Noto Sans CJK SC"/>
        <family val="2"/>
      </rPr>
      <t xml:space="preserve">비교 녹화</t>
    </r>
  </si>
  <si>
    <t xml:space="preserve">F.2</t>
  </si>
  <si>
    <t xml:space="preserve">발표자료</t>
  </si>
  <si>
    <t xml:space="preserve">발표 자료 작성</t>
  </si>
  <si>
    <t xml:space="preserve">발표 자료</t>
  </si>
  <si>
    <t xml:space="preserve">E.5;E.6</t>
  </si>
  <si>
    <r>
      <rPr>
        <sz val="10"/>
        <rFont val="Noto Sans CJK SC"/>
        <family val="2"/>
      </rPr>
      <t xml:space="preserve">문제 정의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원리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시연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검증 결과 포함</t>
    </r>
  </si>
  <si>
    <t xml:space="preserve">F.3</t>
  </si>
  <si>
    <t xml:space="preserve">README</t>
  </si>
  <si>
    <r>
      <rPr>
        <sz val="10"/>
        <rFont val="맑은 고딕"/>
        <family val="0"/>
        <charset val="1"/>
      </rPr>
      <t xml:space="preserve">README·SRS </t>
    </r>
    <r>
      <rPr>
        <sz val="10"/>
        <rFont val="Noto Sans CJK SC"/>
        <family val="2"/>
      </rPr>
      <t xml:space="preserve">최종화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스크린샷</t>
    </r>
    <r>
      <rPr>
        <sz val="10"/>
        <rFont val="맑은 고딕"/>
        <family val="0"/>
        <charset val="1"/>
      </rPr>
      <t xml:space="preserve">·GIF</t>
    </r>
  </si>
  <si>
    <t xml:space="preserve">README.md, SRS.md v1.0</t>
  </si>
  <si>
    <r>
      <rPr>
        <sz val="10"/>
        <rFont val="맑은 고딕"/>
        <family val="0"/>
        <charset val="1"/>
      </rPr>
      <t xml:space="preserve">SRS v1.0 </t>
    </r>
    <r>
      <rPr>
        <sz val="10"/>
        <rFont val="Noto Sans CJK SC"/>
        <family val="2"/>
      </rPr>
      <t xml:space="preserve">확정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시험 결과 기록</t>
    </r>
  </si>
  <si>
    <t xml:space="preserve">F.4</t>
  </si>
  <si>
    <t xml:space="preserve">제출</t>
  </si>
  <si>
    <r>
      <rPr>
        <sz val="10"/>
        <rFont val="Noto Sans CJK SC"/>
        <family val="2"/>
      </rPr>
      <t xml:space="preserve">리허설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제출</t>
    </r>
  </si>
  <si>
    <t xml:space="preserve">제출물</t>
  </si>
  <si>
    <t xml:space="preserve">F.1;F.2;F.3</t>
  </si>
  <si>
    <t xml:space="preserve">발표 시간 내 시연 완주</t>
  </si>
  <si>
    <t xml:space="preserve">M1</t>
  </si>
  <si>
    <t xml:space="preserve">마일스톤</t>
  </si>
  <si>
    <t xml:space="preserve">설계 확정</t>
  </si>
  <si>
    <r>
      <rPr>
        <sz val="10"/>
        <rFont val="Noto Sans CJK SC"/>
        <family val="2"/>
      </rPr>
      <t xml:space="preserve">공통 구조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저장소 준비</t>
    </r>
  </si>
  <si>
    <t xml:space="preserve">공통 기반 완성</t>
  </si>
  <si>
    <r>
      <rPr>
        <sz val="10"/>
        <rFont val="Noto Sans CJK SC"/>
        <family val="2"/>
      </rPr>
      <t xml:space="preserve">외관 변경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영역 전환 동작</t>
    </r>
  </si>
  <si>
    <t xml:space="preserve">M3</t>
  </si>
  <si>
    <t xml:space="preserve">첫 기능 시연</t>
  </si>
  <si>
    <t xml:space="preserve">C.3;D.3</t>
  </si>
  <si>
    <r>
      <rPr>
        <sz val="10"/>
        <rFont val="Noto Sans CJK SC"/>
        <family val="2"/>
      </rPr>
      <t xml:space="preserve">나이트 비전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발렛 분할 화면 동작</t>
    </r>
  </si>
  <si>
    <t xml:space="preserve">M4</t>
  </si>
  <si>
    <r>
      <rPr>
        <sz val="10"/>
        <rFont val="Noto Sans CJK SC"/>
        <family val="2"/>
      </rPr>
      <t xml:space="preserve">기능 </t>
    </r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종 완료</t>
    </r>
  </si>
  <si>
    <t xml:space="preserve">C.8;D.6</t>
  </si>
  <si>
    <r>
      <rPr>
        <sz val="10"/>
        <rFont val="맑은 고딕"/>
        <family val="0"/>
        <charset val="1"/>
      </rPr>
      <t xml:space="preserve">Must </t>
    </r>
    <r>
      <rPr>
        <sz val="10"/>
        <rFont val="Noto Sans CJK SC"/>
        <family val="2"/>
      </rPr>
      <t xml:space="preserve">요구사항 동작</t>
    </r>
  </si>
  <si>
    <t xml:space="preserve">M5</t>
  </si>
  <si>
    <t xml:space="preserve">시나리오 완성</t>
  </si>
  <si>
    <r>
      <rPr>
        <sz val="10"/>
        <rFont val="Noto Sans CJK SC"/>
        <family val="2"/>
      </rPr>
      <t xml:space="preserve">주행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주차 시나리오 끊김 없이 진행</t>
    </r>
  </si>
  <si>
    <t xml:space="preserve">M6</t>
  </si>
  <si>
    <t xml:space="preserve">최종 빌드</t>
  </si>
  <si>
    <r>
      <rPr>
        <sz val="10"/>
        <rFont val="Noto Sans CJK SC"/>
        <family val="2"/>
      </rPr>
      <t xml:space="preserve">실행 파일</t>
    </r>
    <r>
      <rPr>
        <sz val="10"/>
        <rFont val="맑은 고딕"/>
        <family val="0"/>
        <charset val="1"/>
      </rPr>
      <t xml:space="preserve">, TC </t>
    </r>
    <r>
      <rPr>
        <sz val="10"/>
        <rFont val="Noto Sans CJK SC"/>
        <family val="2"/>
      </rPr>
      <t xml:space="preserve">결과 기록</t>
    </r>
  </si>
  <si>
    <t xml:space="preserve">M7</t>
  </si>
  <si>
    <r>
      <rPr>
        <sz val="10"/>
        <rFont val="Noto Sans CJK SC"/>
        <family val="2"/>
      </rPr>
      <t xml:space="preserve">발표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제출</t>
    </r>
  </si>
  <si>
    <t xml:space="preserve">제출 완료</t>
  </si>
  <si>
    <r>
      <rPr>
        <b val="true"/>
        <sz val="18"/>
        <color rgb="FFFFFFFF"/>
        <rFont val="맑은 고딕"/>
        <family val="0"/>
        <charset val="1"/>
      </rPr>
      <t xml:space="preserve">Unity </t>
    </r>
    <r>
      <rPr>
        <b val="true"/>
        <sz val="18"/>
        <color rgb="FFFFFFFF"/>
        <rFont val="Noto Sans CJK SC"/>
        <family val="2"/>
      </rPr>
      <t xml:space="preserve">기능 중심 차량 컨피규레이터 </t>
    </r>
    <r>
      <rPr>
        <b val="true"/>
        <sz val="18"/>
        <color rgb="FFFFFFFF"/>
        <rFont val="맑은 고딕"/>
        <family val="0"/>
        <charset val="1"/>
      </rPr>
      <t xml:space="preserve">WBS — 9</t>
    </r>
    <r>
      <rPr>
        <b val="true"/>
        <sz val="18"/>
        <color rgb="FFFFFFFF"/>
        <rFont val="Noto Sans CJK SC"/>
        <family val="2"/>
      </rPr>
      <t xml:space="preserve">일 간트 차트</t>
    </r>
  </si>
  <si>
    <r>
      <rPr>
        <sz val="9"/>
        <color rgb="FF667085"/>
        <rFont val="Noto Sans CJK SC"/>
        <family val="2"/>
      </rPr>
      <t xml:space="preserve">막대 색</t>
    </r>
    <r>
      <rPr>
        <sz val="9"/>
        <color rgb="FF667085"/>
        <rFont val="맑은 고딕"/>
        <family val="0"/>
        <charset val="1"/>
      </rPr>
      <t xml:space="preserve">: </t>
    </r>
    <r>
      <rPr>
        <sz val="9"/>
        <color rgb="FF667085"/>
        <rFont val="Noto Sans CJK SC"/>
        <family val="2"/>
      </rPr>
      <t xml:space="preserve">김예은 파랑 </t>
    </r>
    <r>
      <rPr>
        <sz val="9"/>
        <color rgb="FF667085"/>
        <rFont val="맑은 고딕"/>
        <family val="0"/>
        <charset val="1"/>
      </rPr>
      <t xml:space="preserve">· </t>
    </r>
    <r>
      <rPr>
        <sz val="9"/>
        <color rgb="FF667085"/>
        <rFont val="Noto Sans CJK SC"/>
        <family val="2"/>
      </rPr>
      <t xml:space="preserve">강유나 주황 </t>
    </r>
    <r>
      <rPr>
        <sz val="9"/>
        <color rgb="FF667085"/>
        <rFont val="맑은 고딕"/>
        <family val="0"/>
        <charset val="1"/>
      </rPr>
      <t xml:space="preserve">· </t>
    </r>
    <r>
      <rPr>
        <sz val="9"/>
        <color rgb="FF667085"/>
        <rFont val="Noto Sans CJK SC"/>
        <family val="2"/>
      </rPr>
      <t xml:space="preserve">공동 초록 </t>
    </r>
    <r>
      <rPr>
        <sz val="9"/>
        <color rgb="FF667085"/>
        <rFont val="맑은 고딕"/>
        <family val="0"/>
        <charset val="1"/>
      </rPr>
      <t xml:space="preserve">· ◆ </t>
    </r>
    <r>
      <rPr>
        <sz val="9"/>
        <color rgb="FF667085"/>
        <rFont val="Noto Sans CJK SC"/>
        <family val="2"/>
      </rPr>
      <t xml:space="preserve">마일스톤</t>
    </r>
    <r>
      <rPr>
        <sz val="9"/>
        <color rgb="FF667085"/>
        <rFont val="맑은 고딕"/>
        <family val="0"/>
        <charset val="1"/>
      </rPr>
      <t xml:space="preserve">. </t>
    </r>
    <r>
      <rPr>
        <sz val="9"/>
        <color rgb="FF667085"/>
        <rFont val="Noto Sans CJK SC"/>
        <family val="2"/>
      </rPr>
      <t xml:space="preserve">날짜</t>
    </r>
    <r>
      <rPr>
        <sz val="9"/>
        <color rgb="FF667085"/>
        <rFont val="맑은 고딕"/>
        <family val="0"/>
        <charset val="1"/>
      </rPr>
      <t xml:space="preserve">·</t>
    </r>
    <r>
      <rPr>
        <sz val="9"/>
        <color rgb="FF667085"/>
        <rFont val="Noto Sans CJK SC"/>
        <family val="2"/>
      </rPr>
      <t xml:space="preserve">담당</t>
    </r>
    <r>
      <rPr>
        <sz val="9"/>
        <color rgb="FF667085"/>
        <rFont val="맑은 고딕"/>
        <family val="0"/>
        <charset val="1"/>
      </rPr>
      <t xml:space="preserve">·</t>
    </r>
    <r>
      <rPr>
        <sz val="9"/>
        <color rgb="FF667085"/>
        <rFont val="Noto Sans CJK SC"/>
        <family val="2"/>
      </rPr>
      <t xml:space="preserve">상태는 </t>
    </r>
    <r>
      <rPr>
        <sz val="9"/>
        <color rgb="FF667085"/>
        <rFont val="맑은 고딕"/>
        <family val="0"/>
        <charset val="1"/>
      </rPr>
      <t xml:space="preserve">WBS_</t>
    </r>
    <r>
      <rPr>
        <sz val="9"/>
        <color rgb="FF667085"/>
        <rFont val="Noto Sans CJK SC"/>
        <family val="2"/>
      </rPr>
      <t xml:space="preserve">계획 시트에서 수정하면 자동 반영됩니다</t>
    </r>
    <r>
      <rPr>
        <sz val="9"/>
        <color rgb="FF667085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</si>
  <si>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주차 </t>
    </r>
    <r>
      <rPr>
        <b val="true"/>
        <sz val="10"/>
        <color rgb="FFFFFFFF"/>
        <rFont val="맑은 고딕"/>
        <family val="0"/>
        <charset val="1"/>
      </rPr>
      <t xml:space="preserve">(10/6~10/11)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</si>
  <si>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주차 </t>
    </r>
    <r>
      <rPr>
        <b val="true"/>
        <sz val="10"/>
        <color rgb="FFFFFFFF"/>
        <rFont val="맑은 고딕"/>
        <family val="0"/>
        <charset val="1"/>
      </rPr>
      <t xml:space="preserve">(10/12~10/14)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</si>
</sst>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"/>
    <numFmt numFmtId="167" formatCode="0%"/>
    <numFmt numFmtId="168" formatCode="m/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맑은 고딕"/>
      <family val="0"/>
      <charset val="1"/>
    </font>
    <font>
      <b val="true"/>
      <sz val="20"/>
      <color rgb="FFFFFFFF"/>
      <name val="Noto Sans CJK SC"/>
      <family val="2"/>
    </font>
    <font>
      <b val="true"/>
      <sz val="11"/>
      <color rgb="FF3A3A3A"/>
      <name val="Noto Sans CJK SC"/>
      <family val="2"/>
    </font>
    <font>
      <b val="true"/>
      <sz val="11"/>
      <color rgb="FF3A3A3A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sz val="10"/>
      <name val="맑은 고딕"/>
      <family val="0"/>
      <charset val="1"/>
    </font>
    <font>
      <sz val="10"/>
      <name val="Noto Sans CJK SC"/>
      <family val="2"/>
    </font>
    <font>
      <b val="true"/>
      <sz val="18"/>
      <color rgb="FFFFFFFF"/>
      <name val="맑은 고딕"/>
      <family val="0"/>
      <charset val="1"/>
    </font>
    <font>
      <b val="true"/>
      <sz val="18"/>
      <color rgb="FFFFFFFF"/>
      <name val="Noto Sans CJK SC"/>
      <family val="2"/>
    </font>
    <font>
      <sz val="9"/>
      <color rgb="FF667085"/>
      <name val="Noto Sans CJK SC"/>
      <family val="2"/>
    </font>
    <font>
      <sz val="9"/>
      <color rgb="FF667085"/>
      <name val="맑은 고딕"/>
      <family val="0"/>
      <charset val="1"/>
    </font>
    <font>
      <b val="true"/>
      <sz val="9"/>
      <color rgb="FF3A3A3A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C75BC"/>
        <bgColor rgb="FF008080"/>
      </patternFill>
    </fill>
    <fill>
      <patternFill patternType="solid">
        <fgColor rgb="FFEEF6FC"/>
        <bgColor rgb="FFEAF7F0"/>
      </patternFill>
    </fill>
    <fill>
      <patternFill patternType="solid">
        <fgColor rgb="FF3A3A3A"/>
        <bgColor rgb="FF344054"/>
      </patternFill>
    </fill>
    <fill>
      <patternFill patternType="solid">
        <fgColor rgb="FFDCEEFF"/>
        <bgColor rgb="FFE6F0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2">
    <dxf>
      <fill>
        <patternFill patternType="solid">
          <fgColor rgb="FF1C75B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98A2B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0FF"/>
          <bgColor rgb="FF000000"/>
        </patternFill>
      </fill>
    </dxf>
    <dxf>
      <fill>
        <patternFill patternType="solid">
          <fgColor rgb="FFE8F1FB"/>
          <bgColor rgb="FF000000"/>
        </patternFill>
      </fill>
    </dxf>
    <dxf>
      <fill>
        <patternFill patternType="solid">
          <fgColor rgb="FFEAF7F0"/>
          <bgColor rgb="FF000000"/>
        </patternFill>
      </fill>
    </dxf>
    <dxf>
      <fill>
        <patternFill patternType="solid">
          <fgColor rgb="FFF3EEFC"/>
          <bgColor rgb="FF000000"/>
        </patternFill>
      </fill>
    </dxf>
    <dxf>
      <fill>
        <patternFill patternType="solid">
          <fgColor rgb="FFFDF2F8"/>
          <bgColor rgb="FF000000"/>
        </patternFill>
      </fill>
    </dxf>
    <dxf>
      <fill>
        <patternFill patternType="solid">
          <fgColor rgb="FFFFF1E6"/>
          <bgColor rgb="FF000000"/>
        </patternFill>
      </fill>
    </dxf>
    <dxf>
      <fill>
        <patternFill patternType="solid">
          <fgColor rgb="FFFFF8DB"/>
          <bgColor rgb="FF000000"/>
        </patternFill>
      </fill>
    </dxf>
    <dxf>
      <fill>
        <patternFill patternType="solid">
          <fgColor rgb="FF3A3A3A"/>
          <bgColor rgb="FF000000"/>
        </patternFill>
      </fill>
    </dxf>
    <dxf>
      <fill>
        <patternFill patternType="solid">
          <fgColor rgb="FFED1C24"/>
          <bgColor rgb="FF000000"/>
        </patternFill>
      </fill>
    </dxf>
    <dxf>
      <fill>
        <patternFill patternType="solid">
          <fgColor rgb="FFD1FADF"/>
          <bgColor rgb="FF000000"/>
        </patternFill>
      </fill>
    </dxf>
    <dxf>
      <fill>
        <patternFill patternType="solid">
          <fgColor rgb="FFEAECF0"/>
          <bgColor rgb="FF000000"/>
        </patternFill>
      </fill>
    </dxf>
    <dxf>
      <fill>
        <patternFill patternType="solid">
          <fgColor rgb="FFFEF0C7"/>
          <bgColor rgb="FF000000"/>
        </patternFill>
      </fill>
    </dxf>
    <dxf>
      <fill>
        <patternFill patternType="solid">
          <fgColor rgb="FF05603A"/>
          <bgColor rgb="FF000000"/>
        </patternFill>
      </fill>
    </dxf>
    <dxf>
      <fill>
        <patternFill patternType="solid">
          <fgColor rgb="FF344054"/>
          <bgColor rgb="FF000000"/>
        </patternFill>
      </fill>
    </dxf>
    <dxf>
      <fill>
        <patternFill patternType="solid">
          <fgColor rgb="FF93370D"/>
          <bgColor rgb="FF000000"/>
        </patternFill>
      </fill>
    </dxf>
    <dxf>
      <font>
        <i val="1"/>
        <color rgb="FF98A2B3"/>
      </font>
    </dxf>
    <dxf>
      <font>
        <b val="1"/>
        <color rgb="FF3A3A3A"/>
      </font>
      <fill>
        <patternFill>
          <bgColor rgb="FFE8F1FB"/>
        </patternFill>
      </fill>
    </dxf>
    <dxf>
      <font>
        <b val="1"/>
        <color rgb="FF3A3A3A"/>
      </font>
      <fill>
        <patternFill>
          <bgColor rgb="FFEAF7F0"/>
        </patternFill>
      </fill>
    </dxf>
    <dxf>
      <font>
        <b val="1"/>
        <color rgb="FF3A3A3A"/>
      </font>
      <fill>
        <patternFill>
          <bgColor rgb="FFE6F0FF"/>
        </patternFill>
      </fill>
    </dxf>
    <dxf>
      <font>
        <b val="1"/>
        <color rgb="FF3A3A3A"/>
      </font>
      <fill>
        <patternFill>
          <bgColor rgb="FFFFF1E6"/>
        </patternFill>
      </fill>
    </dxf>
    <dxf>
      <font>
        <b val="1"/>
        <color rgb="FF3A3A3A"/>
      </font>
      <fill>
        <patternFill>
          <bgColor rgb="FFF3EEFC"/>
        </patternFill>
      </fill>
    </dxf>
    <dxf>
      <font>
        <b val="1"/>
        <color rgb="FF3A3A3A"/>
      </font>
      <fill>
        <patternFill>
          <bgColor rgb="FFFDF2F8"/>
        </patternFill>
      </fill>
    </dxf>
    <dxf>
      <font>
        <b val="1"/>
        <color rgb="FF3A3A3A"/>
      </font>
      <fill>
        <patternFill>
          <bgColor rgb="FFFFF8DB"/>
        </patternFill>
      </fill>
    </dxf>
    <dxf>
      <font>
        <b val="1"/>
        <color rgb="FFED1C24"/>
      </font>
    </dxf>
    <dxf>
      <font>
        <b val="1"/>
        <color rgb="FF05603A"/>
      </font>
      <fill>
        <patternFill>
          <bgColor rgb="FFD1FADF"/>
        </patternFill>
      </fill>
    </dxf>
    <dxf>
      <font>
        <b val="1"/>
        <color rgb="FF93370D"/>
      </font>
      <fill>
        <patternFill>
          <bgColor rgb="FFFEF0C7"/>
        </patternFill>
      </fill>
    </dxf>
    <dxf>
      <font>
        <b val="1"/>
        <color rgb="FF344054"/>
      </font>
      <fill>
        <patternFill>
          <bgColor rgb="FFEAECF0"/>
        </patternFill>
      </fill>
    </dxf>
    <dxf>
      <font>
        <b val="1"/>
        <color rgb="FFB42318"/>
      </font>
      <fill>
        <patternFill>
          <bgColor rgb="FFFEE4E2"/>
        </patternFill>
      </fill>
    </dxf>
    <dxf>
      <font>
        <b val="1"/>
        <color rgb="FF7F6000"/>
      </font>
      <fill>
        <patternFill>
          <bgColor rgb="FFFFC000"/>
        </patternFill>
      </fill>
    </dxf>
    <dxf>
      <font>
        <color rgb="FFA6A6A6"/>
      </font>
      <fill>
        <patternFill>
          <bgColor rgb="FFA6A6A6"/>
        </patternFill>
      </fill>
    </dxf>
    <dxf>
      <font>
        <color rgb="FF1C75BC"/>
      </font>
      <fill>
        <patternFill>
          <bgColor rgb="FF1C75BC"/>
        </patternFill>
      </fill>
    </dxf>
    <dxf>
      <font>
        <color rgb="FFF79009"/>
      </font>
      <fill>
        <patternFill>
          <bgColor rgb="FFF79009"/>
        </patternFill>
      </fill>
    </dxf>
    <dxf>
      <font>
        <color rgb="FF12B76A"/>
      </font>
      <fill>
        <patternFill>
          <bgColor rgb="FF12B76A"/>
        </patternFill>
      </fill>
    </dxf>
    <dxf>
      <fill>
        <patternFill>
          <bgColor rgb="FFFFD966"/>
        </patternFill>
      </fill>
    </dxf>
    <dxf>
      <fill>
        <patternFill>
          <bgColor rgb="FFD1FADF"/>
        </patternFill>
      </fill>
    </dxf>
    <dxf>
      <fill>
        <patternFill>
          <bgColor rgb="FFFEF0C7"/>
        </patternFill>
      </fill>
    </dxf>
    <dxf>
      <fill>
        <patternFill>
          <bgColor rgb="FFEAECF0"/>
        </patternFill>
      </fill>
    </dxf>
    <dxf>
      <fill>
        <patternFill>
          <bgColor rgb="FFFEE4E2"/>
        </patternFill>
      </fill>
    </dxf>
  </dxfs>
  <colors>
    <indexedColors>
      <rgbColor rgb="FF000000"/>
      <rgbColor rgb="FFFFFFFF"/>
      <rgbColor rgb="FFED1C24"/>
      <rgbColor rgb="FF00FF00"/>
      <rgbColor rgb="FF0000FF"/>
      <rgbColor rgb="FFFFF1E6"/>
      <rgbColor rgb="FFFF00FF"/>
      <rgbColor rgb="FF00FFFF"/>
      <rgbColor rgb="FF800000"/>
      <rgbColor rgb="FF05603A"/>
      <rgbColor rgb="FF000080"/>
      <rgbColor rgb="FF7F6000"/>
      <rgbColor rgb="FF800080"/>
      <rgbColor rgb="FF008080"/>
      <rgbColor rgb="FFA6A6A6"/>
      <rgbColor rgb="FF808080"/>
      <rgbColor rgb="FFE8F1FB"/>
      <rgbColor rgb="FFB42318"/>
      <rgbColor rgb="FFFFF8DB"/>
      <rgbColor rgb="FFDCEEFF"/>
      <rgbColor rgb="FF660066"/>
      <rgbColor rgb="FFF3EEFC"/>
      <rgbColor rgb="FF1C75BC"/>
      <rgbColor rgb="FFD0D5DD"/>
      <rgbColor rgb="FF000080"/>
      <rgbColor rgb="FFFF00FF"/>
      <rgbColor rgb="FFFDF2F8"/>
      <rgbColor rgb="FF00FFFF"/>
      <rgbColor rgb="FF800080"/>
      <rgbColor rgb="FF800000"/>
      <rgbColor rgb="FF008080"/>
      <rgbColor rgb="FF0000FF"/>
      <rgbColor rgb="FF00CCFF"/>
      <rgbColor rgb="FFEAF7F0"/>
      <rgbColor rgb="FFD1FADF"/>
      <rgbColor rgb="FFFEF0C7"/>
      <rgbColor rgb="FFE6F0FF"/>
      <rgbColor rgb="FFFEE4E2"/>
      <rgbColor rgb="FFEAECF0"/>
      <rgbColor rgb="FFFFD966"/>
      <rgbColor rgb="FF3366FF"/>
      <rgbColor rgb="FF33CCCC"/>
      <rgbColor rgb="FFEEF6FC"/>
      <rgbColor rgb="FFFFC000"/>
      <rgbColor rgb="FFF79009"/>
      <rgbColor rgb="FFFF6600"/>
      <rgbColor rgb="FF667085"/>
      <rgbColor rgb="FF98A2B3"/>
      <rgbColor rgb="FF003366"/>
      <rgbColor rgb="FF12B76A"/>
      <rgbColor rgb="FF003300"/>
      <rgbColor rgb="FF333300"/>
      <rgbColor rgb="FF93370D"/>
      <rgbColor rgb="FF993366"/>
      <rgbColor rgb="FF344054"/>
      <rgbColor rgb="FF3A3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28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9"/>
    <col collapsed="false" customWidth="true" hidden="false" outlineLevel="0" max="10" min="10" style="0" width="14"/>
    <col collapsed="false" customWidth="true" hidden="false" outlineLevel="0" max="13" min="11" style="0" width="10"/>
    <col collapsed="false" customWidth="true" hidden="false" outlineLevel="0" max="14" min="14" style="0" width="36"/>
    <col collapsed="false" customWidth="true" hidden="false" outlineLevel="0" max="15" min="15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customFormat="false" ht="24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6" customFormat="false" ht="33.75" hidden="false" customHeight="true" outlineLevel="0" collapsed="false">
      <c r="A6" s="3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</row>
    <row r="7" customFormat="false" ht="30.75" hidden="false" customHeight="true" outlineLevel="0" collapsed="false">
      <c r="A7" s="5" t="s">
        <v>17</v>
      </c>
      <c r="B7" s="6" t="s">
        <v>18</v>
      </c>
      <c r="C7" s="6" t="s">
        <v>19</v>
      </c>
      <c r="D7" s="7" t="s">
        <v>20</v>
      </c>
      <c r="E7" s="7" t="s">
        <v>21</v>
      </c>
      <c r="F7" s="8" t="s">
        <v>22</v>
      </c>
      <c r="G7" s="9" t="n">
        <v>46301</v>
      </c>
      <c r="H7" s="9" t="n">
        <v>46301</v>
      </c>
      <c r="I7" s="10" t="n">
        <f aca="false">IF(OR(G7="",H7=""),"",H7-G7+1)</f>
        <v>1</v>
      </c>
      <c r="J7" s="5"/>
      <c r="K7" s="8" t="s">
        <v>23</v>
      </c>
      <c r="L7" s="8" t="s">
        <v>24</v>
      </c>
      <c r="M7" s="11" t="n">
        <v>1</v>
      </c>
      <c r="N7" s="7" t="s">
        <v>25</v>
      </c>
      <c r="O7" s="7"/>
    </row>
    <row r="8" customFormat="false" ht="30.75" hidden="false" customHeight="true" outlineLevel="0" collapsed="false">
      <c r="A8" s="5" t="s">
        <v>26</v>
      </c>
      <c r="B8" s="6" t="s">
        <v>18</v>
      </c>
      <c r="C8" s="6" t="s">
        <v>27</v>
      </c>
      <c r="D8" s="7" t="s">
        <v>28</v>
      </c>
      <c r="E8" s="12" t="s">
        <v>29</v>
      </c>
      <c r="F8" s="8" t="s">
        <v>30</v>
      </c>
      <c r="G8" s="9" t="n">
        <v>46301</v>
      </c>
      <c r="H8" s="9" t="n">
        <v>46301</v>
      </c>
      <c r="I8" s="10" t="n">
        <f aca="false">IF(OR(G8="",H8=""),"",H8-G8+1)</f>
        <v>1</v>
      </c>
      <c r="J8" s="5" t="s">
        <v>17</v>
      </c>
      <c r="K8" s="8" t="s">
        <v>23</v>
      </c>
      <c r="L8" s="8" t="s">
        <v>24</v>
      </c>
      <c r="M8" s="11" t="n">
        <v>1</v>
      </c>
      <c r="N8" s="12" t="s">
        <v>31</v>
      </c>
      <c r="O8" s="12"/>
    </row>
    <row r="9" customFormat="false" ht="30.75" hidden="false" customHeight="true" outlineLevel="0" collapsed="false">
      <c r="A9" s="5" t="s">
        <v>32</v>
      </c>
      <c r="B9" s="6" t="s">
        <v>18</v>
      </c>
      <c r="C9" s="6" t="s">
        <v>33</v>
      </c>
      <c r="D9" s="7" t="s">
        <v>34</v>
      </c>
      <c r="E9" s="12" t="s">
        <v>35</v>
      </c>
      <c r="F9" s="8" t="s">
        <v>22</v>
      </c>
      <c r="G9" s="9" t="n">
        <v>46301</v>
      </c>
      <c r="H9" s="9" t="n">
        <v>46301</v>
      </c>
      <c r="I9" s="10" t="n">
        <f aca="false">IF(OR(G9="",H9=""),"",H9-G9+1)</f>
        <v>1</v>
      </c>
      <c r="J9" s="5" t="s">
        <v>26</v>
      </c>
      <c r="K9" s="8" t="s">
        <v>23</v>
      </c>
      <c r="L9" s="8" t="s">
        <v>36</v>
      </c>
      <c r="M9" s="11" t="n">
        <v>0</v>
      </c>
      <c r="N9" s="12" t="s">
        <v>37</v>
      </c>
      <c r="O9" s="7" t="s">
        <v>38</v>
      </c>
    </row>
    <row r="10" customFormat="false" ht="30.75" hidden="false" customHeight="true" outlineLevel="0" collapsed="false">
      <c r="A10" s="5" t="s">
        <v>39</v>
      </c>
      <c r="B10" s="6" t="s">
        <v>18</v>
      </c>
      <c r="C10" s="6" t="s">
        <v>40</v>
      </c>
      <c r="D10" s="12" t="s">
        <v>41</v>
      </c>
      <c r="E10" s="12" t="s">
        <v>42</v>
      </c>
      <c r="F10" s="8" t="s">
        <v>30</v>
      </c>
      <c r="G10" s="9" t="n">
        <v>46301</v>
      </c>
      <c r="H10" s="9" t="n">
        <v>46301</v>
      </c>
      <c r="I10" s="10" t="n">
        <f aca="false">IF(OR(G10="",H10=""),"",H10-G10+1)</f>
        <v>1</v>
      </c>
      <c r="J10" s="5"/>
      <c r="K10" s="8" t="s">
        <v>23</v>
      </c>
      <c r="L10" s="8" t="s">
        <v>36</v>
      </c>
      <c r="M10" s="11" t="n">
        <v>0</v>
      </c>
      <c r="N10" s="7" t="s">
        <v>43</v>
      </c>
      <c r="O10" s="12" t="s">
        <v>44</v>
      </c>
    </row>
    <row r="11" customFormat="false" ht="30.75" hidden="false" customHeight="true" outlineLevel="0" collapsed="false">
      <c r="A11" s="5" t="s">
        <v>45</v>
      </c>
      <c r="B11" s="6" t="s">
        <v>18</v>
      </c>
      <c r="C11" s="6" t="s">
        <v>46</v>
      </c>
      <c r="D11" s="12" t="s">
        <v>47</v>
      </c>
      <c r="E11" s="12" t="s">
        <v>48</v>
      </c>
      <c r="F11" s="8" t="s">
        <v>22</v>
      </c>
      <c r="G11" s="9" t="n">
        <v>46301</v>
      </c>
      <c r="H11" s="9" t="n">
        <v>46301</v>
      </c>
      <c r="I11" s="10" t="n">
        <f aca="false">IF(OR(G11="",H11=""),"",H11-G11+1)</f>
        <v>1</v>
      </c>
      <c r="J11" s="5" t="s">
        <v>39</v>
      </c>
      <c r="K11" s="8" t="s">
        <v>49</v>
      </c>
      <c r="L11" s="8" t="s">
        <v>36</v>
      </c>
      <c r="M11" s="11" t="n">
        <v>0</v>
      </c>
      <c r="N11" s="7" t="s">
        <v>50</v>
      </c>
      <c r="O11" s="12" t="s">
        <v>51</v>
      </c>
    </row>
    <row r="12" customFormat="false" ht="30.75" hidden="false" customHeight="true" outlineLevel="0" collapsed="false">
      <c r="A12" s="5" t="s">
        <v>52</v>
      </c>
      <c r="B12" s="6" t="s">
        <v>18</v>
      </c>
      <c r="C12" s="6" t="s">
        <v>53</v>
      </c>
      <c r="D12" s="12" t="s">
        <v>54</v>
      </c>
      <c r="E12" s="12" t="s">
        <v>55</v>
      </c>
      <c r="F12" s="8" t="s">
        <v>22</v>
      </c>
      <c r="G12" s="9" t="n">
        <v>46301</v>
      </c>
      <c r="H12" s="9" t="n">
        <v>46309</v>
      </c>
      <c r="I12" s="10" t="n">
        <f aca="false">IF(OR(G12="",H12=""),"",H12-G12+1)</f>
        <v>9</v>
      </c>
      <c r="J12" s="5" t="s">
        <v>26</v>
      </c>
      <c r="K12" s="8" t="s">
        <v>49</v>
      </c>
      <c r="L12" s="8" t="s">
        <v>56</v>
      </c>
      <c r="M12" s="11" t="n">
        <v>0.1</v>
      </c>
      <c r="N12" s="7" t="s">
        <v>57</v>
      </c>
      <c r="O12" s="12"/>
    </row>
    <row r="13" customFormat="false" ht="30.75" hidden="false" customHeight="true" outlineLevel="0" collapsed="false">
      <c r="A13" s="5" t="s">
        <v>58</v>
      </c>
      <c r="B13" s="6" t="s">
        <v>59</v>
      </c>
      <c r="C13" s="6" t="s">
        <v>60</v>
      </c>
      <c r="D13" s="12" t="s">
        <v>61</v>
      </c>
      <c r="E13" s="12" t="s">
        <v>62</v>
      </c>
      <c r="F13" s="8" t="s">
        <v>30</v>
      </c>
      <c r="G13" s="9" t="n">
        <v>46302</v>
      </c>
      <c r="H13" s="9" t="n">
        <v>46302</v>
      </c>
      <c r="I13" s="10" t="n">
        <f aca="false">IF(OR(G13="",H13=""),"",H13-G13+1)</f>
        <v>1</v>
      </c>
      <c r="J13" s="5" t="s">
        <v>32</v>
      </c>
      <c r="K13" s="8" t="s">
        <v>23</v>
      </c>
      <c r="L13" s="8" t="s">
        <v>36</v>
      </c>
      <c r="M13" s="11" t="n">
        <v>0</v>
      </c>
      <c r="N13" s="7" t="s">
        <v>63</v>
      </c>
      <c r="O13" s="12" t="s">
        <v>64</v>
      </c>
    </row>
    <row r="14" customFormat="false" ht="30.75" hidden="false" customHeight="true" outlineLevel="0" collapsed="false">
      <c r="A14" s="5" t="s">
        <v>65</v>
      </c>
      <c r="B14" s="6" t="s">
        <v>59</v>
      </c>
      <c r="C14" s="6" t="s">
        <v>66</v>
      </c>
      <c r="D14" s="7" t="s">
        <v>67</v>
      </c>
      <c r="E14" s="12" t="s">
        <v>68</v>
      </c>
      <c r="F14" s="8" t="s">
        <v>30</v>
      </c>
      <c r="G14" s="9" t="n">
        <v>46302</v>
      </c>
      <c r="H14" s="9" t="n">
        <v>46302</v>
      </c>
      <c r="I14" s="10" t="n">
        <f aca="false">IF(OR(G14="",H14=""),"",H14-G14+1)</f>
        <v>1</v>
      </c>
      <c r="J14" s="5" t="s">
        <v>32</v>
      </c>
      <c r="K14" s="8" t="s">
        <v>23</v>
      </c>
      <c r="L14" s="8" t="s">
        <v>36</v>
      </c>
      <c r="M14" s="11" t="n">
        <v>0</v>
      </c>
      <c r="N14" s="7" t="s">
        <v>69</v>
      </c>
      <c r="O14" s="7" t="s">
        <v>70</v>
      </c>
    </row>
    <row r="15" customFormat="false" ht="30.75" hidden="false" customHeight="true" outlineLevel="0" collapsed="false">
      <c r="A15" s="5" t="s">
        <v>71</v>
      </c>
      <c r="B15" s="6" t="s">
        <v>59</v>
      </c>
      <c r="C15" s="13" t="s">
        <v>72</v>
      </c>
      <c r="D15" s="12" t="s">
        <v>73</v>
      </c>
      <c r="E15" s="12" t="s">
        <v>74</v>
      </c>
      <c r="F15" s="8" t="s">
        <v>75</v>
      </c>
      <c r="G15" s="9" t="n">
        <v>46302</v>
      </c>
      <c r="H15" s="9" t="n">
        <v>46302</v>
      </c>
      <c r="I15" s="10" t="n">
        <f aca="false">IF(OR(G15="",H15=""),"",H15-G15+1)</f>
        <v>1</v>
      </c>
      <c r="J15" s="5" t="s">
        <v>32</v>
      </c>
      <c r="K15" s="8" t="s">
        <v>23</v>
      </c>
      <c r="L15" s="8" t="s">
        <v>36</v>
      </c>
      <c r="M15" s="11" t="n">
        <v>0</v>
      </c>
      <c r="N15" s="7" t="s">
        <v>76</v>
      </c>
      <c r="O15" s="12" t="s">
        <v>77</v>
      </c>
    </row>
    <row r="16" customFormat="false" ht="30.75" hidden="false" customHeight="true" outlineLevel="0" collapsed="false">
      <c r="A16" s="5" t="s">
        <v>78</v>
      </c>
      <c r="B16" s="6" t="s">
        <v>59</v>
      </c>
      <c r="C16" s="6" t="s">
        <v>79</v>
      </c>
      <c r="D16" s="12" t="s">
        <v>80</v>
      </c>
      <c r="E16" s="12" t="s">
        <v>81</v>
      </c>
      <c r="F16" s="8" t="s">
        <v>75</v>
      </c>
      <c r="G16" s="9" t="n">
        <v>46302</v>
      </c>
      <c r="H16" s="9" t="n">
        <v>46302</v>
      </c>
      <c r="I16" s="10" t="n">
        <f aca="false">IF(OR(G16="",H16=""),"",H16-G16+1)</f>
        <v>1</v>
      </c>
      <c r="J16" s="5" t="s">
        <v>32</v>
      </c>
      <c r="K16" s="8" t="s">
        <v>23</v>
      </c>
      <c r="L16" s="8" t="s">
        <v>36</v>
      </c>
      <c r="M16" s="11" t="n">
        <v>0</v>
      </c>
      <c r="N16" s="7" t="s">
        <v>82</v>
      </c>
      <c r="O16" s="12" t="s">
        <v>83</v>
      </c>
    </row>
    <row r="17" customFormat="false" ht="30.75" hidden="false" customHeight="true" outlineLevel="0" collapsed="false">
      <c r="A17" s="5" t="s">
        <v>84</v>
      </c>
      <c r="B17" s="6" t="s">
        <v>59</v>
      </c>
      <c r="C17" s="6" t="s">
        <v>85</v>
      </c>
      <c r="D17" s="12" t="s">
        <v>86</v>
      </c>
      <c r="E17" s="12" t="s">
        <v>87</v>
      </c>
      <c r="F17" s="8" t="s">
        <v>22</v>
      </c>
      <c r="G17" s="9" t="n">
        <v>46303</v>
      </c>
      <c r="H17" s="9" t="n">
        <v>46303</v>
      </c>
      <c r="I17" s="10" t="n">
        <f aca="false">IF(OR(G17="",H17=""),"",H17-G17+1)</f>
        <v>1</v>
      </c>
      <c r="J17" s="5" t="s">
        <v>88</v>
      </c>
      <c r="K17" s="8" t="s">
        <v>23</v>
      </c>
      <c r="L17" s="8" t="s">
        <v>36</v>
      </c>
      <c r="M17" s="11" t="n">
        <v>0</v>
      </c>
      <c r="N17" s="7" t="s">
        <v>89</v>
      </c>
      <c r="O17" s="12" t="s">
        <v>90</v>
      </c>
    </row>
    <row r="18" customFormat="false" ht="30.75" hidden="false" customHeight="true" outlineLevel="0" collapsed="false">
      <c r="A18" s="5" t="s">
        <v>91</v>
      </c>
      <c r="B18" s="6" t="s">
        <v>59</v>
      </c>
      <c r="C18" s="6" t="s">
        <v>92</v>
      </c>
      <c r="D18" s="7" t="s">
        <v>93</v>
      </c>
      <c r="E18" s="12" t="s">
        <v>94</v>
      </c>
      <c r="F18" s="8" t="s">
        <v>22</v>
      </c>
      <c r="G18" s="9" t="n">
        <v>46302</v>
      </c>
      <c r="H18" s="9" t="n">
        <v>46302</v>
      </c>
      <c r="I18" s="10" t="n">
        <f aca="false">IF(OR(G18="",H18=""),"",H18-G18+1)</f>
        <v>1</v>
      </c>
      <c r="J18" s="5" t="s">
        <v>95</v>
      </c>
      <c r="K18" s="8" t="s">
        <v>23</v>
      </c>
      <c r="L18" s="8" t="s">
        <v>36</v>
      </c>
      <c r="M18" s="11" t="n">
        <v>0</v>
      </c>
      <c r="N18" s="7" t="s">
        <v>96</v>
      </c>
      <c r="O18" s="12" t="s">
        <v>97</v>
      </c>
    </row>
    <row r="19" customFormat="false" ht="30.75" hidden="false" customHeight="true" outlineLevel="0" collapsed="false">
      <c r="A19" s="5" t="s">
        <v>98</v>
      </c>
      <c r="B19" s="6" t="s">
        <v>99</v>
      </c>
      <c r="C19" s="6" t="s">
        <v>100</v>
      </c>
      <c r="D19" s="12" t="s">
        <v>101</v>
      </c>
      <c r="E19" s="12" t="s">
        <v>102</v>
      </c>
      <c r="F19" s="8" t="s">
        <v>30</v>
      </c>
      <c r="G19" s="9" t="n">
        <v>46303</v>
      </c>
      <c r="H19" s="9" t="n">
        <v>46303</v>
      </c>
      <c r="I19" s="10" t="n">
        <f aca="false">IF(OR(G19="",H19=""),"",H19-G19+1)</f>
        <v>1</v>
      </c>
      <c r="J19" s="5" t="s">
        <v>91</v>
      </c>
      <c r="K19" s="8" t="s">
        <v>23</v>
      </c>
      <c r="L19" s="8" t="s">
        <v>36</v>
      </c>
      <c r="M19" s="11" t="n">
        <v>0</v>
      </c>
      <c r="N19" s="7" t="s">
        <v>103</v>
      </c>
      <c r="O19" s="12" t="s">
        <v>104</v>
      </c>
    </row>
    <row r="20" customFormat="false" ht="30.75" hidden="false" customHeight="true" outlineLevel="0" collapsed="false">
      <c r="A20" s="5" t="s">
        <v>105</v>
      </c>
      <c r="B20" s="6" t="s">
        <v>99</v>
      </c>
      <c r="C20" s="6" t="s">
        <v>106</v>
      </c>
      <c r="D20" s="12" t="s">
        <v>107</v>
      </c>
      <c r="E20" s="12" t="s">
        <v>108</v>
      </c>
      <c r="F20" s="8" t="s">
        <v>30</v>
      </c>
      <c r="G20" s="9" t="n">
        <v>46303</v>
      </c>
      <c r="H20" s="9" t="n">
        <v>46304</v>
      </c>
      <c r="I20" s="10" t="n">
        <f aca="false">IF(OR(G20="",H20=""),"",H20-G20+1)</f>
        <v>2</v>
      </c>
      <c r="J20" s="5" t="s">
        <v>98</v>
      </c>
      <c r="K20" s="8" t="s">
        <v>23</v>
      </c>
      <c r="L20" s="8" t="s">
        <v>36</v>
      </c>
      <c r="M20" s="11" t="n">
        <v>0</v>
      </c>
      <c r="N20" s="12" t="s">
        <v>109</v>
      </c>
      <c r="O20" s="12" t="s">
        <v>110</v>
      </c>
    </row>
    <row r="21" customFormat="false" ht="30.75" hidden="false" customHeight="true" outlineLevel="0" collapsed="false">
      <c r="A21" s="5" t="s">
        <v>111</v>
      </c>
      <c r="B21" s="6" t="s">
        <v>99</v>
      </c>
      <c r="C21" s="6" t="s">
        <v>106</v>
      </c>
      <c r="D21" s="12" t="s">
        <v>112</v>
      </c>
      <c r="E21" s="12" t="s">
        <v>113</v>
      </c>
      <c r="F21" s="8" t="s">
        <v>30</v>
      </c>
      <c r="G21" s="9" t="n">
        <v>46304</v>
      </c>
      <c r="H21" s="9" t="n">
        <v>46304</v>
      </c>
      <c r="I21" s="10" t="n">
        <f aca="false">IF(OR(G21="",H21=""),"",H21-G21+1)</f>
        <v>1</v>
      </c>
      <c r="J21" s="5" t="s">
        <v>105</v>
      </c>
      <c r="K21" s="8" t="s">
        <v>23</v>
      </c>
      <c r="L21" s="8" t="s">
        <v>36</v>
      </c>
      <c r="M21" s="11" t="n">
        <v>0</v>
      </c>
      <c r="N21" s="7" t="s">
        <v>114</v>
      </c>
      <c r="O21" s="12" t="s">
        <v>115</v>
      </c>
    </row>
    <row r="22" customFormat="false" ht="30.75" hidden="false" customHeight="true" outlineLevel="0" collapsed="false">
      <c r="A22" s="5" t="s">
        <v>116</v>
      </c>
      <c r="B22" s="6" t="s">
        <v>99</v>
      </c>
      <c r="C22" s="6" t="s">
        <v>106</v>
      </c>
      <c r="D22" s="7" t="s">
        <v>117</v>
      </c>
      <c r="E22" s="12" t="s">
        <v>118</v>
      </c>
      <c r="F22" s="8" t="s">
        <v>30</v>
      </c>
      <c r="G22" s="9" t="n">
        <v>46304</v>
      </c>
      <c r="H22" s="9" t="n">
        <v>46304</v>
      </c>
      <c r="I22" s="10" t="n">
        <f aca="false">IF(OR(G22="",H22=""),"",H22-G22+1)</f>
        <v>1</v>
      </c>
      <c r="J22" s="5" t="s">
        <v>105</v>
      </c>
      <c r="K22" s="8" t="s">
        <v>23</v>
      </c>
      <c r="L22" s="8" t="s">
        <v>36</v>
      </c>
      <c r="M22" s="11" t="n">
        <v>0</v>
      </c>
      <c r="N22" s="7" t="s">
        <v>119</v>
      </c>
      <c r="O22" s="12" t="s">
        <v>120</v>
      </c>
    </row>
    <row r="23" customFormat="false" ht="30.75" hidden="false" customHeight="true" outlineLevel="0" collapsed="false">
      <c r="A23" s="5" t="s">
        <v>121</v>
      </c>
      <c r="B23" s="6" t="s">
        <v>99</v>
      </c>
      <c r="C23" s="6" t="s">
        <v>122</v>
      </c>
      <c r="D23" s="12" t="s">
        <v>123</v>
      </c>
      <c r="E23" s="12" t="s">
        <v>124</v>
      </c>
      <c r="F23" s="8" t="s">
        <v>30</v>
      </c>
      <c r="G23" s="9" t="n">
        <v>46304</v>
      </c>
      <c r="H23" s="9" t="n">
        <v>46304</v>
      </c>
      <c r="I23" s="10" t="n">
        <f aca="false">IF(OR(G23="",H23=""),"",H23-G23+1)</f>
        <v>1</v>
      </c>
      <c r="J23" s="5" t="s">
        <v>105</v>
      </c>
      <c r="K23" s="8" t="s">
        <v>23</v>
      </c>
      <c r="L23" s="8" t="s">
        <v>36</v>
      </c>
      <c r="M23" s="11" t="n">
        <v>0</v>
      </c>
      <c r="N23" s="7" t="s">
        <v>125</v>
      </c>
      <c r="O23" s="12" t="s">
        <v>126</v>
      </c>
    </row>
    <row r="24" customFormat="false" ht="30.75" hidden="false" customHeight="true" outlineLevel="0" collapsed="false">
      <c r="A24" s="5" t="s">
        <v>127</v>
      </c>
      <c r="B24" s="6" t="s">
        <v>99</v>
      </c>
      <c r="C24" s="6" t="s">
        <v>100</v>
      </c>
      <c r="D24" s="7" t="s">
        <v>128</v>
      </c>
      <c r="E24" s="12" t="s">
        <v>129</v>
      </c>
      <c r="F24" s="8" t="s">
        <v>30</v>
      </c>
      <c r="G24" s="9" t="n">
        <v>46305</v>
      </c>
      <c r="H24" s="9" t="n">
        <v>46305</v>
      </c>
      <c r="I24" s="10" t="n">
        <f aca="false">IF(OR(G24="",H24=""),"",H24-G24+1)</f>
        <v>1</v>
      </c>
      <c r="J24" s="5" t="s">
        <v>98</v>
      </c>
      <c r="K24" s="8" t="s">
        <v>23</v>
      </c>
      <c r="L24" s="8" t="s">
        <v>36</v>
      </c>
      <c r="M24" s="11" t="n">
        <v>0</v>
      </c>
      <c r="N24" s="12" t="s">
        <v>130</v>
      </c>
      <c r="O24" s="12" t="s">
        <v>131</v>
      </c>
    </row>
    <row r="25" customFormat="false" ht="30.75" hidden="false" customHeight="true" outlineLevel="0" collapsed="false">
      <c r="A25" s="5" t="s">
        <v>132</v>
      </c>
      <c r="B25" s="6" t="s">
        <v>99</v>
      </c>
      <c r="C25" s="6" t="s">
        <v>133</v>
      </c>
      <c r="D25" s="12" t="s">
        <v>134</v>
      </c>
      <c r="E25" s="12" t="s">
        <v>135</v>
      </c>
      <c r="F25" s="8" t="s">
        <v>30</v>
      </c>
      <c r="G25" s="9" t="n">
        <v>46305</v>
      </c>
      <c r="H25" s="9" t="n">
        <v>46305</v>
      </c>
      <c r="I25" s="10" t="n">
        <f aca="false">IF(OR(G25="",H25=""),"",H25-G25+1)</f>
        <v>1</v>
      </c>
      <c r="J25" s="5" t="s">
        <v>127</v>
      </c>
      <c r="K25" s="8" t="s">
        <v>23</v>
      </c>
      <c r="L25" s="8" t="s">
        <v>36</v>
      </c>
      <c r="M25" s="11" t="n">
        <v>0</v>
      </c>
      <c r="N25" s="12" t="s">
        <v>136</v>
      </c>
      <c r="O25" s="12" t="s">
        <v>137</v>
      </c>
    </row>
    <row r="26" customFormat="false" ht="30.75" hidden="false" customHeight="true" outlineLevel="0" collapsed="false">
      <c r="A26" s="5" t="s">
        <v>138</v>
      </c>
      <c r="B26" s="6" t="s">
        <v>99</v>
      </c>
      <c r="C26" s="6" t="s">
        <v>122</v>
      </c>
      <c r="D26" s="7" t="s">
        <v>139</v>
      </c>
      <c r="E26" s="12" t="s">
        <v>124</v>
      </c>
      <c r="F26" s="8" t="s">
        <v>30</v>
      </c>
      <c r="G26" s="9" t="n">
        <v>46306</v>
      </c>
      <c r="H26" s="9" t="n">
        <v>46306</v>
      </c>
      <c r="I26" s="10" t="n">
        <f aca="false">IF(OR(G26="",H26=""),"",H26-G26+1)</f>
        <v>1</v>
      </c>
      <c r="J26" s="5" t="s">
        <v>132</v>
      </c>
      <c r="K26" s="8" t="s">
        <v>23</v>
      </c>
      <c r="L26" s="8" t="s">
        <v>36</v>
      </c>
      <c r="M26" s="11" t="n">
        <v>0</v>
      </c>
      <c r="N26" s="7" t="s">
        <v>140</v>
      </c>
      <c r="O26" s="12" t="s">
        <v>141</v>
      </c>
    </row>
    <row r="27" customFormat="false" ht="30.75" hidden="false" customHeight="true" outlineLevel="0" collapsed="false">
      <c r="A27" s="5" t="s">
        <v>142</v>
      </c>
      <c r="B27" s="6" t="s">
        <v>99</v>
      </c>
      <c r="C27" s="6" t="s">
        <v>143</v>
      </c>
      <c r="D27" s="12" t="s">
        <v>144</v>
      </c>
      <c r="E27" s="12" t="s">
        <v>145</v>
      </c>
      <c r="F27" s="8" t="s">
        <v>30</v>
      </c>
      <c r="G27" s="9" t="n">
        <v>46307</v>
      </c>
      <c r="H27" s="9" t="n">
        <v>46308</v>
      </c>
      <c r="I27" s="10" t="n">
        <f aca="false">IF(OR(G27="",H27=""),"",H27-G27+1)</f>
        <v>2</v>
      </c>
      <c r="J27" s="5" t="s">
        <v>138</v>
      </c>
      <c r="K27" s="8" t="s">
        <v>49</v>
      </c>
      <c r="L27" s="8" t="s">
        <v>36</v>
      </c>
      <c r="M27" s="11" t="n">
        <v>0</v>
      </c>
      <c r="N27" s="7" t="s">
        <v>146</v>
      </c>
      <c r="O27" s="12" t="s">
        <v>147</v>
      </c>
    </row>
    <row r="28" customFormat="false" ht="30.75" hidden="false" customHeight="true" outlineLevel="0" collapsed="false">
      <c r="A28" s="5" t="s">
        <v>148</v>
      </c>
      <c r="B28" s="6" t="s">
        <v>99</v>
      </c>
      <c r="C28" s="6" t="s">
        <v>143</v>
      </c>
      <c r="D28" s="12" t="s">
        <v>149</v>
      </c>
      <c r="E28" s="12" t="s">
        <v>145</v>
      </c>
      <c r="F28" s="8" t="s">
        <v>30</v>
      </c>
      <c r="G28" s="9"/>
      <c r="H28" s="9"/>
      <c r="I28" s="10" t="str">
        <f aca="false">IF(OR(G28="",H28=""),"",H28-G28+1)</f>
        <v/>
      </c>
      <c r="J28" s="5" t="s">
        <v>138</v>
      </c>
      <c r="K28" s="8" t="s">
        <v>150</v>
      </c>
      <c r="L28" s="8" t="s">
        <v>151</v>
      </c>
      <c r="M28" s="11" t="n">
        <v>0</v>
      </c>
      <c r="N28" s="7" t="s">
        <v>152</v>
      </c>
      <c r="O28" s="12" t="s">
        <v>153</v>
      </c>
    </row>
    <row r="29" customFormat="false" ht="30.75" hidden="false" customHeight="true" outlineLevel="0" collapsed="false">
      <c r="A29" s="5" t="s">
        <v>154</v>
      </c>
      <c r="B29" s="6" t="s">
        <v>155</v>
      </c>
      <c r="C29" s="6" t="s">
        <v>100</v>
      </c>
      <c r="D29" s="12" t="s">
        <v>156</v>
      </c>
      <c r="E29" s="12" t="s">
        <v>157</v>
      </c>
      <c r="F29" s="8" t="s">
        <v>75</v>
      </c>
      <c r="G29" s="9" t="n">
        <v>46303</v>
      </c>
      <c r="H29" s="9" t="n">
        <v>46303</v>
      </c>
      <c r="I29" s="10" t="n">
        <f aca="false">IF(OR(G29="",H29=""),"",H29-G29+1)</f>
        <v>1</v>
      </c>
      <c r="J29" s="5" t="s">
        <v>91</v>
      </c>
      <c r="K29" s="8" t="s">
        <v>23</v>
      </c>
      <c r="L29" s="8" t="s">
        <v>36</v>
      </c>
      <c r="M29" s="11" t="n">
        <v>0</v>
      </c>
      <c r="N29" s="7" t="s">
        <v>158</v>
      </c>
      <c r="O29" s="12" t="s">
        <v>159</v>
      </c>
    </row>
    <row r="30" customFormat="false" ht="30.75" hidden="false" customHeight="true" outlineLevel="0" collapsed="false">
      <c r="A30" s="5" t="s">
        <v>160</v>
      </c>
      <c r="B30" s="6" t="s">
        <v>155</v>
      </c>
      <c r="C30" s="6" t="s">
        <v>161</v>
      </c>
      <c r="D30" s="12" t="s">
        <v>162</v>
      </c>
      <c r="E30" s="12" t="s">
        <v>163</v>
      </c>
      <c r="F30" s="8" t="s">
        <v>75</v>
      </c>
      <c r="G30" s="9" t="n">
        <v>46303</v>
      </c>
      <c r="H30" s="9" t="n">
        <v>46303</v>
      </c>
      <c r="I30" s="10" t="n">
        <f aca="false">IF(OR(G30="",H30=""),"",H30-G30+1)</f>
        <v>1</v>
      </c>
      <c r="J30" s="5" t="s">
        <v>154</v>
      </c>
      <c r="K30" s="8" t="s">
        <v>23</v>
      </c>
      <c r="L30" s="8" t="s">
        <v>36</v>
      </c>
      <c r="M30" s="11" t="n">
        <v>0</v>
      </c>
      <c r="N30" s="7" t="s">
        <v>164</v>
      </c>
      <c r="O30" s="12" t="s">
        <v>165</v>
      </c>
    </row>
    <row r="31" customFormat="false" ht="30.75" hidden="false" customHeight="true" outlineLevel="0" collapsed="false">
      <c r="A31" s="5" t="s">
        <v>166</v>
      </c>
      <c r="B31" s="6" t="s">
        <v>155</v>
      </c>
      <c r="C31" s="6" t="s">
        <v>161</v>
      </c>
      <c r="D31" s="7" t="s">
        <v>167</v>
      </c>
      <c r="E31" s="12" t="s">
        <v>168</v>
      </c>
      <c r="F31" s="8" t="s">
        <v>75</v>
      </c>
      <c r="G31" s="9" t="n">
        <v>46304</v>
      </c>
      <c r="H31" s="9" t="n">
        <v>46304</v>
      </c>
      <c r="I31" s="10" t="n">
        <f aca="false">IF(OR(G31="",H31=""),"",H31-G31+1)</f>
        <v>1</v>
      </c>
      <c r="J31" s="5" t="s">
        <v>160</v>
      </c>
      <c r="K31" s="8" t="s">
        <v>23</v>
      </c>
      <c r="L31" s="8" t="s">
        <v>36</v>
      </c>
      <c r="M31" s="11" t="n">
        <v>0</v>
      </c>
      <c r="N31" s="12" t="s">
        <v>169</v>
      </c>
      <c r="O31" s="12" t="s">
        <v>170</v>
      </c>
    </row>
    <row r="32" customFormat="false" ht="30.75" hidden="false" customHeight="true" outlineLevel="0" collapsed="false">
      <c r="A32" s="5" t="s">
        <v>171</v>
      </c>
      <c r="B32" s="6" t="s">
        <v>155</v>
      </c>
      <c r="C32" s="6" t="s">
        <v>122</v>
      </c>
      <c r="D32" s="7" t="s">
        <v>172</v>
      </c>
      <c r="E32" s="12" t="s">
        <v>145</v>
      </c>
      <c r="F32" s="8" t="s">
        <v>75</v>
      </c>
      <c r="G32" s="9" t="n">
        <v>46304</v>
      </c>
      <c r="H32" s="9" t="n">
        <v>46304</v>
      </c>
      <c r="I32" s="10" t="n">
        <f aca="false">IF(OR(G32="",H32=""),"",H32-G32+1)</f>
        <v>1</v>
      </c>
      <c r="J32" s="5" t="s">
        <v>166</v>
      </c>
      <c r="K32" s="8" t="s">
        <v>23</v>
      </c>
      <c r="L32" s="8" t="s">
        <v>36</v>
      </c>
      <c r="M32" s="11" t="n">
        <v>0</v>
      </c>
      <c r="N32" s="7" t="s">
        <v>173</v>
      </c>
      <c r="O32" s="12" t="s">
        <v>174</v>
      </c>
    </row>
    <row r="33" customFormat="false" ht="30.75" hidden="false" customHeight="true" outlineLevel="0" collapsed="false">
      <c r="A33" s="5" t="s">
        <v>175</v>
      </c>
      <c r="B33" s="6" t="s">
        <v>155</v>
      </c>
      <c r="C33" s="6" t="s">
        <v>176</v>
      </c>
      <c r="D33" s="7" t="s">
        <v>177</v>
      </c>
      <c r="E33" s="12" t="s">
        <v>178</v>
      </c>
      <c r="F33" s="8" t="s">
        <v>75</v>
      </c>
      <c r="G33" s="9" t="n">
        <v>46305</v>
      </c>
      <c r="H33" s="9" t="n">
        <v>46305</v>
      </c>
      <c r="I33" s="10" t="n">
        <f aca="false">IF(OR(G33="",H33=""),"",H33-G33+1)</f>
        <v>1</v>
      </c>
      <c r="J33" s="5" t="s">
        <v>154</v>
      </c>
      <c r="K33" s="8" t="s">
        <v>23</v>
      </c>
      <c r="L33" s="8" t="s">
        <v>36</v>
      </c>
      <c r="M33" s="11" t="n">
        <v>0</v>
      </c>
      <c r="N33" s="7" t="s">
        <v>179</v>
      </c>
      <c r="O33" s="12" t="s">
        <v>180</v>
      </c>
    </row>
    <row r="34" customFormat="false" ht="30.75" hidden="false" customHeight="true" outlineLevel="0" collapsed="false">
      <c r="A34" s="5" t="s">
        <v>181</v>
      </c>
      <c r="B34" s="6" t="s">
        <v>155</v>
      </c>
      <c r="C34" s="6" t="s">
        <v>176</v>
      </c>
      <c r="D34" s="7" t="s">
        <v>182</v>
      </c>
      <c r="E34" s="12" t="s">
        <v>145</v>
      </c>
      <c r="F34" s="8" t="s">
        <v>75</v>
      </c>
      <c r="G34" s="9" t="n">
        <v>46306</v>
      </c>
      <c r="H34" s="9" t="n">
        <v>46306</v>
      </c>
      <c r="I34" s="10" t="n">
        <f aca="false">IF(OR(G34="",H34=""),"",H34-G34+1)</f>
        <v>1</v>
      </c>
      <c r="J34" s="5" t="s">
        <v>175</v>
      </c>
      <c r="K34" s="8" t="s">
        <v>23</v>
      </c>
      <c r="L34" s="8" t="s">
        <v>36</v>
      </c>
      <c r="M34" s="11" t="n">
        <v>0</v>
      </c>
      <c r="N34" s="12" t="s">
        <v>183</v>
      </c>
      <c r="O34" s="12" t="s">
        <v>184</v>
      </c>
    </row>
    <row r="35" customFormat="false" ht="30.75" hidden="false" customHeight="true" outlineLevel="0" collapsed="false">
      <c r="A35" s="5" t="s">
        <v>185</v>
      </c>
      <c r="B35" s="6" t="s">
        <v>155</v>
      </c>
      <c r="C35" s="6" t="s">
        <v>143</v>
      </c>
      <c r="D35" s="12" t="s">
        <v>186</v>
      </c>
      <c r="E35" s="12" t="s">
        <v>145</v>
      </c>
      <c r="F35" s="8" t="s">
        <v>75</v>
      </c>
      <c r="G35" s="9" t="n">
        <v>46307</v>
      </c>
      <c r="H35" s="9" t="n">
        <v>46308</v>
      </c>
      <c r="I35" s="10" t="n">
        <f aca="false">IF(OR(G35="",H35=""),"",H35-G35+1)</f>
        <v>2</v>
      </c>
      <c r="J35" s="5" t="s">
        <v>181</v>
      </c>
      <c r="K35" s="8" t="s">
        <v>49</v>
      </c>
      <c r="L35" s="8" t="s">
        <v>36</v>
      </c>
      <c r="M35" s="11" t="n">
        <v>0</v>
      </c>
      <c r="N35" s="7" t="s">
        <v>187</v>
      </c>
      <c r="O35" s="12" t="s">
        <v>188</v>
      </c>
    </row>
    <row r="36" customFormat="false" ht="30.75" hidden="false" customHeight="true" outlineLevel="0" collapsed="false">
      <c r="A36" s="5" t="s">
        <v>189</v>
      </c>
      <c r="B36" s="6" t="s">
        <v>190</v>
      </c>
      <c r="C36" s="6" t="s">
        <v>191</v>
      </c>
      <c r="D36" s="7" t="s">
        <v>192</v>
      </c>
      <c r="E36" s="12" t="s">
        <v>193</v>
      </c>
      <c r="F36" s="8" t="s">
        <v>30</v>
      </c>
      <c r="G36" s="9" t="n">
        <v>46307</v>
      </c>
      <c r="H36" s="9" t="n">
        <v>46307</v>
      </c>
      <c r="I36" s="10" t="n">
        <f aca="false">IF(OR(G36="",H36=""),"",H36-G36+1)</f>
        <v>1</v>
      </c>
      <c r="J36" s="5" t="s">
        <v>138</v>
      </c>
      <c r="K36" s="8" t="s">
        <v>23</v>
      </c>
      <c r="L36" s="8" t="s">
        <v>36</v>
      </c>
      <c r="M36" s="11" t="n">
        <v>0</v>
      </c>
      <c r="N36" s="7" t="s">
        <v>194</v>
      </c>
      <c r="O36" s="12" t="s">
        <v>195</v>
      </c>
    </row>
    <row r="37" customFormat="false" ht="30.75" hidden="false" customHeight="true" outlineLevel="0" collapsed="false">
      <c r="A37" s="5" t="s">
        <v>196</v>
      </c>
      <c r="B37" s="6" t="s">
        <v>190</v>
      </c>
      <c r="C37" s="6" t="s">
        <v>191</v>
      </c>
      <c r="D37" s="7" t="s">
        <v>197</v>
      </c>
      <c r="E37" s="12" t="s">
        <v>198</v>
      </c>
      <c r="F37" s="8" t="s">
        <v>75</v>
      </c>
      <c r="G37" s="9" t="n">
        <v>46307</v>
      </c>
      <c r="H37" s="9" t="n">
        <v>46307</v>
      </c>
      <c r="I37" s="10" t="n">
        <f aca="false">IF(OR(G37="",H37=""),"",H37-G37+1)</f>
        <v>1</v>
      </c>
      <c r="J37" s="5" t="s">
        <v>181</v>
      </c>
      <c r="K37" s="8" t="s">
        <v>23</v>
      </c>
      <c r="L37" s="8" t="s">
        <v>36</v>
      </c>
      <c r="M37" s="11" t="n">
        <v>0</v>
      </c>
      <c r="N37" s="7" t="s">
        <v>199</v>
      </c>
      <c r="O37" s="12" t="s">
        <v>195</v>
      </c>
    </row>
    <row r="38" customFormat="false" ht="30.75" hidden="false" customHeight="true" outlineLevel="0" collapsed="false">
      <c r="A38" s="5" t="s">
        <v>200</v>
      </c>
      <c r="B38" s="6" t="s">
        <v>190</v>
      </c>
      <c r="C38" s="6" t="s">
        <v>92</v>
      </c>
      <c r="D38" s="7" t="s">
        <v>201</v>
      </c>
      <c r="E38" s="12" t="s">
        <v>145</v>
      </c>
      <c r="F38" s="8" t="s">
        <v>22</v>
      </c>
      <c r="G38" s="9" t="n">
        <v>46307</v>
      </c>
      <c r="H38" s="9" t="n">
        <v>46307</v>
      </c>
      <c r="I38" s="10" t="n">
        <f aca="false">IF(OR(G38="",H38=""),"",H38-G38+1)</f>
        <v>1</v>
      </c>
      <c r="J38" s="5" t="s">
        <v>202</v>
      </c>
      <c r="K38" s="8" t="s">
        <v>23</v>
      </c>
      <c r="L38" s="8" t="s">
        <v>36</v>
      </c>
      <c r="M38" s="11" t="n">
        <v>0</v>
      </c>
      <c r="N38" s="12" t="s">
        <v>203</v>
      </c>
      <c r="O38" s="12" t="s">
        <v>204</v>
      </c>
    </row>
    <row r="39" customFormat="false" ht="30.75" hidden="false" customHeight="true" outlineLevel="0" collapsed="false">
      <c r="A39" s="5" t="s">
        <v>205</v>
      </c>
      <c r="B39" s="6" t="s">
        <v>190</v>
      </c>
      <c r="C39" s="6" t="s">
        <v>143</v>
      </c>
      <c r="D39" s="12" t="s">
        <v>206</v>
      </c>
      <c r="E39" s="12" t="s">
        <v>207</v>
      </c>
      <c r="F39" s="8" t="s">
        <v>22</v>
      </c>
      <c r="G39" s="9"/>
      <c r="H39" s="9"/>
      <c r="I39" s="10" t="str">
        <f aca="false">IF(OR(G39="",H39=""),"",H39-G39+1)</f>
        <v/>
      </c>
      <c r="J39" s="5" t="s">
        <v>200</v>
      </c>
      <c r="K39" s="8" t="s">
        <v>150</v>
      </c>
      <c r="L39" s="8" t="s">
        <v>151</v>
      </c>
      <c r="M39" s="11" t="n">
        <v>0</v>
      </c>
      <c r="N39" s="7" t="s">
        <v>208</v>
      </c>
      <c r="O39" s="12" t="s">
        <v>209</v>
      </c>
    </row>
    <row r="40" customFormat="false" ht="30.75" hidden="false" customHeight="true" outlineLevel="0" collapsed="false">
      <c r="A40" s="5" t="s">
        <v>210</v>
      </c>
      <c r="B40" s="6" t="s">
        <v>190</v>
      </c>
      <c r="C40" s="6" t="s">
        <v>211</v>
      </c>
      <c r="D40" s="7" t="s">
        <v>212</v>
      </c>
      <c r="E40" s="12" t="s">
        <v>213</v>
      </c>
      <c r="F40" s="8" t="s">
        <v>30</v>
      </c>
      <c r="G40" s="9" t="n">
        <v>46308</v>
      </c>
      <c r="H40" s="9" t="n">
        <v>46308</v>
      </c>
      <c r="I40" s="10" t="n">
        <f aca="false">IF(OR(G40="",H40=""),"",H40-G40+1)</f>
        <v>1</v>
      </c>
      <c r="J40" s="5" t="s">
        <v>200</v>
      </c>
      <c r="K40" s="8" t="s">
        <v>23</v>
      </c>
      <c r="L40" s="8" t="s">
        <v>36</v>
      </c>
      <c r="M40" s="11" t="n">
        <v>0</v>
      </c>
      <c r="N40" s="12" t="s">
        <v>214</v>
      </c>
      <c r="O40" s="12"/>
    </row>
    <row r="41" customFormat="false" ht="30.75" hidden="false" customHeight="true" outlineLevel="0" collapsed="false">
      <c r="A41" s="5" t="s">
        <v>215</v>
      </c>
      <c r="B41" s="6" t="s">
        <v>190</v>
      </c>
      <c r="C41" s="6" t="s">
        <v>211</v>
      </c>
      <c r="D41" s="7" t="s">
        <v>216</v>
      </c>
      <c r="E41" s="12" t="s">
        <v>213</v>
      </c>
      <c r="F41" s="8" t="s">
        <v>75</v>
      </c>
      <c r="G41" s="9" t="n">
        <v>46308</v>
      </c>
      <c r="H41" s="9" t="n">
        <v>46308</v>
      </c>
      <c r="I41" s="10" t="n">
        <f aca="false">IF(OR(G41="",H41=""),"",H41-G41+1)</f>
        <v>1</v>
      </c>
      <c r="J41" s="5" t="s">
        <v>200</v>
      </c>
      <c r="K41" s="8" t="s">
        <v>23</v>
      </c>
      <c r="L41" s="8" t="s">
        <v>36</v>
      </c>
      <c r="M41" s="11" t="n">
        <v>0</v>
      </c>
      <c r="N41" s="12" t="s">
        <v>214</v>
      </c>
      <c r="O41" s="12"/>
    </row>
    <row r="42" customFormat="false" ht="30.75" hidden="false" customHeight="true" outlineLevel="0" collapsed="false">
      <c r="A42" s="5" t="s">
        <v>217</v>
      </c>
      <c r="B42" s="6" t="s">
        <v>190</v>
      </c>
      <c r="C42" s="6" t="s">
        <v>211</v>
      </c>
      <c r="D42" s="7" t="s">
        <v>218</v>
      </c>
      <c r="E42" s="7" t="s">
        <v>219</v>
      </c>
      <c r="F42" s="8" t="s">
        <v>22</v>
      </c>
      <c r="G42" s="9" t="n">
        <v>46308</v>
      </c>
      <c r="H42" s="9" t="n">
        <v>46308</v>
      </c>
      <c r="I42" s="10" t="n">
        <f aca="false">IF(OR(G42="",H42=""),"",H42-G42+1)</f>
        <v>1</v>
      </c>
      <c r="J42" s="5" t="s">
        <v>200</v>
      </c>
      <c r="K42" s="8" t="s">
        <v>23</v>
      </c>
      <c r="L42" s="8" t="s">
        <v>36</v>
      </c>
      <c r="M42" s="11" t="n">
        <v>0</v>
      </c>
      <c r="N42" s="7" t="s">
        <v>220</v>
      </c>
      <c r="O42" s="12" t="s">
        <v>221</v>
      </c>
    </row>
    <row r="43" customFormat="false" ht="30.75" hidden="false" customHeight="true" outlineLevel="0" collapsed="false">
      <c r="A43" s="5" t="s">
        <v>222</v>
      </c>
      <c r="B43" s="6" t="s">
        <v>190</v>
      </c>
      <c r="C43" s="6" t="s">
        <v>211</v>
      </c>
      <c r="D43" s="7" t="s">
        <v>223</v>
      </c>
      <c r="E43" s="12" t="s">
        <v>145</v>
      </c>
      <c r="F43" s="8" t="s">
        <v>22</v>
      </c>
      <c r="G43" s="9" t="n">
        <v>46308</v>
      </c>
      <c r="H43" s="9" t="n">
        <v>46308</v>
      </c>
      <c r="I43" s="10" t="n">
        <f aca="false">IF(OR(G43="",H43=""),"",H43-G43+1)</f>
        <v>1</v>
      </c>
      <c r="J43" s="5" t="s">
        <v>224</v>
      </c>
      <c r="K43" s="8" t="s">
        <v>23</v>
      </c>
      <c r="L43" s="8" t="s">
        <v>36</v>
      </c>
      <c r="M43" s="11" t="n">
        <v>0</v>
      </c>
      <c r="N43" s="7" t="s">
        <v>225</v>
      </c>
      <c r="O43" s="12"/>
    </row>
    <row r="44" customFormat="false" ht="30.75" hidden="false" customHeight="true" outlineLevel="0" collapsed="false">
      <c r="A44" s="5" t="s">
        <v>226</v>
      </c>
      <c r="B44" s="6" t="s">
        <v>190</v>
      </c>
      <c r="C44" s="6" t="s">
        <v>227</v>
      </c>
      <c r="D44" s="12" t="s">
        <v>228</v>
      </c>
      <c r="E44" s="7" t="s">
        <v>229</v>
      </c>
      <c r="F44" s="8" t="s">
        <v>30</v>
      </c>
      <c r="G44" s="9" t="n">
        <v>46308</v>
      </c>
      <c r="H44" s="9" t="n">
        <v>46308</v>
      </c>
      <c r="I44" s="10" t="n">
        <f aca="false">IF(OR(G44="",H44=""),"",H44-G44+1)</f>
        <v>1</v>
      </c>
      <c r="J44" s="5" t="s">
        <v>222</v>
      </c>
      <c r="K44" s="8" t="s">
        <v>23</v>
      </c>
      <c r="L44" s="8" t="s">
        <v>36</v>
      </c>
      <c r="M44" s="11" t="n">
        <v>0</v>
      </c>
      <c r="N44" s="7" t="s">
        <v>230</v>
      </c>
      <c r="O44" s="12" t="s">
        <v>51</v>
      </c>
    </row>
    <row r="45" customFormat="false" ht="30.75" hidden="false" customHeight="true" outlineLevel="0" collapsed="false">
      <c r="A45" s="5" t="s">
        <v>231</v>
      </c>
      <c r="B45" s="6" t="s">
        <v>232</v>
      </c>
      <c r="C45" s="6" t="s">
        <v>233</v>
      </c>
      <c r="D45" s="7" t="s">
        <v>234</v>
      </c>
      <c r="E45" s="7" t="s">
        <v>235</v>
      </c>
      <c r="F45" s="8" t="s">
        <v>22</v>
      </c>
      <c r="G45" s="9" t="n">
        <v>46308</v>
      </c>
      <c r="H45" s="9" t="n">
        <v>46308</v>
      </c>
      <c r="I45" s="10" t="n">
        <f aca="false">IF(OR(G45="",H45=""),"",H45-G45+1)</f>
        <v>1</v>
      </c>
      <c r="J45" s="5" t="s">
        <v>226</v>
      </c>
      <c r="K45" s="8" t="s">
        <v>23</v>
      </c>
      <c r="L45" s="8" t="s">
        <v>36</v>
      </c>
      <c r="M45" s="11" t="n">
        <v>0</v>
      </c>
      <c r="N45" s="12" t="s">
        <v>236</v>
      </c>
      <c r="O45" s="12"/>
    </row>
    <row r="46" customFormat="false" ht="30.75" hidden="false" customHeight="true" outlineLevel="0" collapsed="false">
      <c r="A46" s="5" t="s">
        <v>237</v>
      </c>
      <c r="B46" s="6" t="s">
        <v>232</v>
      </c>
      <c r="C46" s="6" t="s">
        <v>238</v>
      </c>
      <c r="D46" s="7" t="s">
        <v>239</v>
      </c>
      <c r="E46" s="7" t="s">
        <v>240</v>
      </c>
      <c r="F46" s="8" t="s">
        <v>22</v>
      </c>
      <c r="G46" s="9" t="n">
        <v>46308</v>
      </c>
      <c r="H46" s="9" t="n">
        <v>46309</v>
      </c>
      <c r="I46" s="10" t="n">
        <f aca="false">IF(OR(G46="",H46=""),"",H46-G46+1)</f>
        <v>2</v>
      </c>
      <c r="J46" s="5" t="s">
        <v>241</v>
      </c>
      <c r="K46" s="8" t="s">
        <v>23</v>
      </c>
      <c r="L46" s="8" t="s">
        <v>36</v>
      </c>
      <c r="M46" s="11" t="n">
        <v>0</v>
      </c>
      <c r="N46" s="7" t="s">
        <v>242</v>
      </c>
      <c r="O46" s="12"/>
    </row>
    <row r="47" customFormat="false" ht="30.75" hidden="false" customHeight="true" outlineLevel="0" collapsed="false">
      <c r="A47" s="5" t="s">
        <v>243</v>
      </c>
      <c r="B47" s="6" t="s">
        <v>232</v>
      </c>
      <c r="C47" s="13" t="s">
        <v>244</v>
      </c>
      <c r="D47" s="12" t="s">
        <v>245</v>
      </c>
      <c r="E47" s="12" t="s">
        <v>246</v>
      </c>
      <c r="F47" s="8" t="s">
        <v>30</v>
      </c>
      <c r="G47" s="9" t="n">
        <v>46309</v>
      </c>
      <c r="H47" s="9" t="n">
        <v>46309</v>
      </c>
      <c r="I47" s="10" t="n">
        <f aca="false">IF(OR(G47="",H47=""),"",H47-G47+1)</f>
        <v>1</v>
      </c>
      <c r="J47" s="5" t="s">
        <v>210</v>
      </c>
      <c r="K47" s="8" t="s">
        <v>49</v>
      </c>
      <c r="L47" s="8" t="s">
        <v>36</v>
      </c>
      <c r="M47" s="11" t="n">
        <v>0</v>
      </c>
      <c r="N47" s="12" t="s">
        <v>247</v>
      </c>
      <c r="O47" s="12"/>
    </row>
    <row r="48" customFormat="false" ht="30.75" hidden="false" customHeight="true" outlineLevel="0" collapsed="false">
      <c r="A48" s="5" t="s">
        <v>248</v>
      </c>
      <c r="B48" s="6" t="s">
        <v>232</v>
      </c>
      <c r="C48" s="6" t="s">
        <v>249</v>
      </c>
      <c r="D48" s="7" t="s">
        <v>250</v>
      </c>
      <c r="E48" s="7" t="s">
        <v>251</v>
      </c>
      <c r="F48" s="8" t="s">
        <v>22</v>
      </c>
      <c r="G48" s="9" t="n">
        <v>46309</v>
      </c>
      <c r="H48" s="9" t="n">
        <v>46309</v>
      </c>
      <c r="I48" s="10" t="n">
        <f aca="false">IF(OR(G48="",H48=""),"",H48-G48+1)</f>
        <v>1</v>
      </c>
      <c r="J48" s="5" t="s">
        <v>252</v>
      </c>
      <c r="K48" s="8" t="s">
        <v>23</v>
      </c>
      <c r="L48" s="8" t="s">
        <v>36</v>
      </c>
      <c r="M48" s="11" t="n">
        <v>0</v>
      </c>
      <c r="N48" s="7" t="s">
        <v>253</v>
      </c>
      <c r="O48" s="12"/>
    </row>
    <row r="49" customFormat="false" ht="30.75" hidden="false" customHeight="true" outlineLevel="0" collapsed="false">
      <c r="A49" s="5" t="s">
        <v>254</v>
      </c>
      <c r="B49" s="6" t="s">
        <v>255</v>
      </c>
      <c r="C49" s="13" t="s">
        <v>254</v>
      </c>
      <c r="D49" s="7" t="s">
        <v>256</v>
      </c>
      <c r="E49" s="12" t="s">
        <v>145</v>
      </c>
      <c r="F49" s="8" t="s">
        <v>22</v>
      </c>
      <c r="G49" s="9" t="n">
        <v>46301</v>
      </c>
      <c r="H49" s="9" t="n">
        <v>46301</v>
      </c>
      <c r="I49" s="10" t="n">
        <f aca="false">IF(OR(G49="",H49=""),"",H49-G49+1)</f>
        <v>1</v>
      </c>
      <c r="J49" s="5" t="s">
        <v>32</v>
      </c>
      <c r="K49" s="8" t="s">
        <v>23</v>
      </c>
      <c r="L49" s="8" t="s">
        <v>36</v>
      </c>
      <c r="M49" s="11" t="n">
        <v>0</v>
      </c>
      <c r="N49" s="7" t="s">
        <v>257</v>
      </c>
      <c r="O49" s="12"/>
    </row>
    <row r="50" customFormat="false" ht="30.75" hidden="false" customHeight="true" outlineLevel="0" collapsed="false">
      <c r="A50" s="5" t="s">
        <v>97</v>
      </c>
      <c r="B50" s="6" t="s">
        <v>255</v>
      </c>
      <c r="C50" s="13" t="s">
        <v>97</v>
      </c>
      <c r="D50" s="7" t="s">
        <v>258</v>
      </c>
      <c r="E50" s="12" t="s">
        <v>145</v>
      </c>
      <c r="F50" s="8" t="s">
        <v>22</v>
      </c>
      <c r="G50" s="9" t="n">
        <v>46302</v>
      </c>
      <c r="H50" s="9" t="n">
        <v>46302</v>
      </c>
      <c r="I50" s="10" t="n">
        <f aca="false">IF(OR(G50="",H50=""),"",H50-G50+1)</f>
        <v>1</v>
      </c>
      <c r="J50" s="5" t="s">
        <v>91</v>
      </c>
      <c r="K50" s="8" t="s">
        <v>23</v>
      </c>
      <c r="L50" s="8" t="s">
        <v>36</v>
      </c>
      <c r="M50" s="11" t="n">
        <v>0</v>
      </c>
      <c r="N50" s="7" t="s">
        <v>259</v>
      </c>
      <c r="O50" s="12"/>
    </row>
    <row r="51" customFormat="false" ht="30.75" hidden="false" customHeight="true" outlineLevel="0" collapsed="false">
      <c r="A51" s="5" t="s">
        <v>260</v>
      </c>
      <c r="B51" s="6" t="s">
        <v>255</v>
      </c>
      <c r="C51" s="13" t="s">
        <v>260</v>
      </c>
      <c r="D51" s="7" t="s">
        <v>261</v>
      </c>
      <c r="E51" s="12" t="s">
        <v>145</v>
      </c>
      <c r="F51" s="8" t="s">
        <v>22</v>
      </c>
      <c r="G51" s="9" t="n">
        <v>46304</v>
      </c>
      <c r="H51" s="9" t="n">
        <v>46304</v>
      </c>
      <c r="I51" s="10" t="n">
        <f aca="false">IF(OR(G51="",H51=""),"",H51-G51+1)</f>
        <v>1</v>
      </c>
      <c r="J51" s="5" t="s">
        <v>262</v>
      </c>
      <c r="K51" s="8" t="s">
        <v>23</v>
      </c>
      <c r="L51" s="8" t="s">
        <v>36</v>
      </c>
      <c r="M51" s="11" t="n">
        <v>0</v>
      </c>
      <c r="N51" s="7" t="s">
        <v>263</v>
      </c>
      <c r="O51" s="12"/>
    </row>
    <row r="52" customFormat="false" ht="30.75" hidden="false" customHeight="true" outlineLevel="0" collapsed="false">
      <c r="A52" s="5" t="s">
        <v>264</v>
      </c>
      <c r="B52" s="6" t="s">
        <v>255</v>
      </c>
      <c r="C52" s="13" t="s">
        <v>264</v>
      </c>
      <c r="D52" s="7" t="s">
        <v>265</v>
      </c>
      <c r="E52" s="12" t="s">
        <v>145</v>
      </c>
      <c r="F52" s="8" t="s">
        <v>22</v>
      </c>
      <c r="G52" s="9" t="n">
        <v>46306</v>
      </c>
      <c r="H52" s="9" t="n">
        <v>46306</v>
      </c>
      <c r="I52" s="10" t="n">
        <f aca="false">IF(OR(G52="",H52=""),"",H52-G52+1)</f>
        <v>1</v>
      </c>
      <c r="J52" s="5" t="s">
        <v>266</v>
      </c>
      <c r="K52" s="8" t="s">
        <v>23</v>
      </c>
      <c r="L52" s="8" t="s">
        <v>36</v>
      </c>
      <c r="M52" s="11" t="n">
        <v>0</v>
      </c>
      <c r="N52" s="12" t="s">
        <v>267</v>
      </c>
      <c r="O52" s="12"/>
    </row>
    <row r="53" customFormat="false" ht="30.75" hidden="false" customHeight="true" outlineLevel="0" collapsed="false">
      <c r="A53" s="5" t="s">
        <v>268</v>
      </c>
      <c r="B53" s="6" t="s">
        <v>255</v>
      </c>
      <c r="C53" s="13" t="s">
        <v>268</v>
      </c>
      <c r="D53" s="7" t="s">
        <v>269</v>
      </c>
      <c r="E53" s="12" t="s">
        <v>145</v>
      </c>
      <c r="F53" s="8" t="s">
        <v>22</v>
      </c>
      <c r="G53" s="9" t="n">
        <v>46307</v>
      </c>
      <c r="H53" s="9" t="n">
        <v>46307</v>
      </c>
      <c r="I53" s="10" t="n">
        <f aca="false">IF(OR(G53="",H53=""),"",H53-G53+1)</f>
        <v>1</v>
      </c>
      <c r="J53" s="5" t="s">
        <v>200</v>
      </c>
      <c r="K53" s="8" t="s">
        <v>23</v>
      </c>
      <c r="L53" s="8" t="s">
        <v>36</v>
      </c>
      <c r="M53" s="11" t="n">
        <v>0</v>
      </c>
      <c r="N53" s="7" t="s">
        <v>270</v>
      </c>
      <c r="O53" s="12"/>
    </row>
    <row r="54" customFormat="false" ht="30.75" hidden="false" customHeight="true" outlineLevel="0" collapsed="false">
      <c r="A54" s="5" t="s">
        <v>271</v>
      </c>
      <c r="B54" s="6" t="s">
        <v>255</v>
      </c>
      <c r="C54" s="13" t="s">
        <v>271</v>
      </c>
      <c r="D54" s="7" t="s">
        <v>272</v>
      </c>
      <c r="E54" s="12" t="s">
        <v>145</v>
      </c>
      <c r="F54" s="8" t="s">
        <v>22</v>
      </c>
      <c r="G54" s="9" t="n">
        <v>46308</v>
      </c>
      <c r="H54" s="9" t="n">
        <v>46308</v>
      </c>
      <c r="I54" s="10" t="n">
        <f aca="false">IF(OR(G54="",H54=""),"",H54-G54+1)</f>
        <v>1</v>
      </c>
      <c r="J54" s="5" t="s">
        <v>226</v>
      </c>
      <c r="K54" s="8" t="s">
        <v>23</v>
      </c>
      <c r="L54" s="8" t="s">
        <v>36</v>
      </c>
      <c r="M54" s="11" t="n">
        <v>0</v>
      </c>
      <c r="N54" s="7" t="s">
        <v>273</v>
      </c>
      <c r="O54" s="12"/>
    </row>
    <row r="55" customFormat="false" ht="30.75" hidden="false" customHeight="true" outlineLevel="0" collapsed="false">
      <c r="A55" s="5" t="s">
        <v>274</v>
      </c>
      <c r="B55" s="6" t="s">
        <v>255</v>
      </c>
      <c r="C55" s="13" t="s">
        <v>274</v>
      </c>
      <c r="D55" s="7" t="s">
        <v>275</v>
      </c>
      <c r="E55" s="12" t="s">
        <v>145</v>
      </c>
      <c r="F55" s="8" t="s">
        <v>22</v>
      </c>
      <c r="G55" s="9" t="n">
        <v>46309</v>
      </c>
      <c r="H55" s="9" t="n">
        <v>46309</v>
      </c>
      <c r="I55" s="10" t="n">
        <f aca="false">IF(OR(G55="",H55=""),"",H55-G55+1)</f>
        <v>1</v>
      </c>
      <c r="J55" s="5" t="s">
        <v>248</v>
      </c>
      <c r="K55" s="8" t="s">
        <v>23</v>
      </c>
      <c r="L55" s="8" t="s">
        <v>36</v>
      </c>
      <c r="M55" s="11" t="n">
        <v>0</v>
      </c>
      <c r="N55" s="7" t="s">
        <v>276</v>
      </c>
      <c r="O55" s="12"/>
    </row>
  </sheetData>
  <autoFilter ref="A6:O55"/>
  <mergeCells count="2">
    <mergeCell ref="A1:O2"/>
    <mergeCell ref="A4:O4"/>
  </mergeCells>
  <conditionalFormatting sqref="A7:O55">
    <cfRule type="expression" priority="2" aboveAverage="0" equalAverage="0" bottom="0" percent="0" rank="0" text="" dxfId="19">
      <formula>$L7="보류"</formula>
    </cfRule>
  </conditionalFormatting>
  <conditionalFormatting sqref="B7:B55">
    <cfRule type="expression" priority="3" aboveAverage="0" equalAverage="0" bottom="0" percent="0" rank="0" text="" dxfId="20">
      <formula>B7="프로젝트 관리"</formula>
    </cfRule>
    <cfRule type="expression" priority="4" aboveAverage="0" equalAverage="0" bottom="0" percent="0" rank="0" text="" dxfId="21">
      <formula>B7="공통 기반"</formula>
    </cfRule>
    <cfRule type="expression" priority="5" aboveAverage="0" equalAverage="0" bottom="0" percent="0" rank="0" text="" dxfId="22">
      <formula>B7="주행 기능"</formula>
    </cfRule>
    <cfRule type="expression" priority="6" aboveAverage="0" equalAverage="0" bottom="0" percent="0" rank="0" text="" dxfId="23">
      <formula>B7="주차 기능"</formula>
    </cfRule>
    <cfRule type="expression" priority="7" aboveAverage="0" equalAverage="0" bottom="0" percent="0" rank="0" text="" dxfId="24">
      <formula>B7="통합·시험"</formula>
    </cfRule>
    <cfRule type="expression" priority="8" aboveAverage="0" equalAverage="0" bottom="0" percent="0" rank="0" text="" dxfId="25">
      <formula>B7="문서·발표"</formula>
    </cfRule>
    <cfRule type="expression" priority="9" aboveAverage="0" equalAverage="0" bottom="0" percent="0" rank="0" text="" dxfId="26">
      <formula>B7="마일스톤"</formula>
    </cfRule>
  </conditionalFormatting>
  <conditionalFormatting sqref="K7:K55">
    <cfRule type="expression" priority="10" aboveAverage="0" equalAverage="0" bottom="0" percent="0" rank="0" text="" dxfId="27">
      <formula>K7="높음"</formula>
    </cfRule>
  </conditionalFormatting>
  <conditionalFormatting sqref="L7:L55">
    <cfRule type="expression" priority="11" aboveAverage="0" equalAverage="0" bottom="0" percent="0" rank="0" text="" dxfId="28">
      <formula>L7="완료"</formula>
    </cfRule>
    <cfRule type="expression" priority="12" aboveAverage="0" equalAverage="0" bottom="0" percent="0" rank="0" text="" dxfId="29">
      <formula>L7="진행중"</formula>
    </cfRule>
    <cfRule type="expression" priority="13" aboveAverage="0" equalAverage="0" bottom="0" percent="0" rank="0" text="" dxfId="30">
      <formula>L7="미착수"</formula>
    </cfRule>
    <cfRule type="expression" priority="14" aboveAverage="0" equalAverage="0" bottom="0" percent="0" rank="0" text="" dxfId="31">
      <formula>L7="보류"</formula>
    </cfRule>
  </conditionalFormatting>
  <conditionalFormatting sqref="M7:M55">
    <cfRule type="dataBar" priority="15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{46F5826A-C117-4677-AADB-3970405D2E43}</x14:id>
        </ext>
      </extLst>
    </cfRule>
  </conditionalFormatting>
  <dataValidations count="4">
    <dataValidation allowBlank="true" errorStyle="stop" operator="between" showDropDown="false" showErrorMessage="false" showInputMessage="false" sqref="F7:F75" type="list">
      <formula1>"김예은,강유나,공동"</formula1>
      <formula2>0</formula2>
    </dataValidation>
    <dataValidation allowBlank="true" errorStyle="stop" operator="between" showDropDown="false" showErrorMessage="false" showInputMessage="false" sqref="K7:K75" type="list">
      <formula1>"높음,중간,낮음"</formula1>
      <formula2>0</formula2>
    </dataValidation>
    <dataValidation allowBlank="true" errorStyle="stop" operator="between" showDropDown="false" showErrorMessage="false" showInputMessage="false" sqref="L7:L75" type="list">
      <formula1>"완료,진행중,미착수,보류"</formula1>
      <formula2>0</formula2>
    </dataValidation>
    <dataValidation allowBlank="true" error="0%~100% 사이로 입력하세요." errorStyle="stop" operator="between" showDropDown="false" showErrorMessage="true" showInputMessage="false" sqref="M7:M75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F5826A-C117-4677-AADB-3970405D2E4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M7:M55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4" min="3" style="0" width="10"/>
    <col collapsed="false" customWidth="true" hidden="false" outlineLevel="0" max="13" min="5" style="0" width="6.51"/>
  </cols>
  <sheetData>
    <row r="1" customFormat="false" ht="15" hidden="false" customHeight="false" outlineLevel="0" collapsed="false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customFormat="false" ht="15" hidden="false" customHeight="false" outlineLevel="0" collapsed="false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customFormat="false" ht="15" hidden="false" customHeight="false" outlineLevel="0" collapsed="false">
      <c r="A3" s="15" t="s">
        <v>278</v>
      </c>
    </row>
    <row r="4" customFormat="false" ht="15" hidden="false" customHeight="false" outlineLevel="0" collapsed="false">
      <c r="A4" s="16" t="s">
        <v>2</v>
      </c>
      <c r="B4" s="17" t="s">
        <v>5</v>
      </c>
      <c r="C4" s="17" t="s">
        <v>7</v>
      </c>
      <c r="D4" s="17" t="s">
        <v>13</v>
      </c>
      <c r="E4" s="18" t="s">
        <v>279</v>
      </c>
      <c r="F4" s="18"/>
      <c r="G4" s="18"/>
      <c r="H4" s="18"/>
      <c r="I4" s="18"/>
      <c r="J4" s="18"/>
      <c r="K4" s="18" t="s">
        <v>280</v>
      </c>
      <c r="L4" s="18"/>
      <c r="M4" s="18"/>
    </row>
    <row r="5" customFormat="false" ht="25.5" hidden="false" customHeight="true" outlineLevel="0" collapsed="false">
      <c r="A5" s="16"/>
      <c r="B5" s="16"/>
      <c r="C5" s="16"/>
      <c r="D5" s="16"/>
      <c r="E5" s="19" t="n">
        <v>46301</v>
      </c>
      <c r="F5" s="19" t="n">
        <v>46302</v>
      </c>
      <c r="G5" s="19" t="n">
        <v>46303</v>
      </c>
      <c r="H5" s="19" t="n">
        <v>46304</v>
      </c>
      <c r="I5" s="19" t="n">
        <v>46305</v>
      </c>
      <c r="J5" s="19" t="n">
        <v>46306</v>
      </c>
      <c r="K5" s="19" t="n">
        <v>46307</v>
      </c>
      <c r="L5" s="19" t="n">
        <v>46308</v>
      </c>
      <c r="M5" s="19" t="n">
        <v>46309</v>
      </c>
    </row>
    <row r="6" customFormat="false" ht="27.75" hidden="false" customHeight="true" outlineLevel="0" collapsed="false">
      <c r="A6" s="5" t="s">
        <v>17</v>
      </c>
      <c r="B6" s="7" t="str">
        <f aca="false">VLOOKUP($A6,WBS_계획!$A:$O,4,FALSE())</f>
        <v>기능 옵션 4종·시나리오 확정</v>
      </c>
      <c r="C6" s="5" t="str">
        <f aca="false">VLOOKUP($A6,WBS_계획!$A:$O,6,FALSE())</f>
        <v>공동</v>
      </c>
      <c r="D6" s="8" t="str">
        <f aca="false">VLOOKUP($A6,WBS_계획!$A:$O,12,FALSE())</f>
        <v>완료</v>
      </c>
      <c r="E6" s="5" t="str">
        <f aca="false">IF(ISNUMBER(VLOOKUP($A6,WBS_계획!$A:$O,7,FALSE())),IF(AND(E$5&gt;=VLOOKUP($A6,WBS_계획!$A:$O,7,FALSE()),E$5&lt;=VLOOKUP($A6,WBS_계획!$A:$O,8,FALSE())),IF(LEFT($A6,1)="M","◆","■"),""),"")</f>
        <v>■</v>
      </c>
      <c r="F6" s="5" t="str">
        <f aca="false">IF(ISNUMBER(VLOOKUP($A6,WBS_계획!$A:$O,7,FALSE())),IF(AND(F$5&gt;=VLOOKUP($A6,WBS_계획!$A:$O,7,FALSE()),F$5&lt;=VLOOKUP($A6,WBS_계획!$A:$O,8,FALSE())),IF(LEFT($A6,1)="M","◆","■"),""),"")</f>
        <v/>
      </c>
      <c r="G6" s="5" t="str">
        <f aca="false">IF(ISNUMBER(VLOOKUP($A6,WBS_계획!$A:$O,7,FALSE())),IF(AND(G$5&gt;=VLOOKUP($A6,WBS_계획!$A:$O,7,FALSE()),G$5&lt;=VLOOKUP($A6,WBS_계획!$A:$O,8,FALSE())),IF(LEFT($A6,1)="M","◆","■"),""),"")</f>
        <v/>
      </c>
      <c r="H6" s="5" t="str">
        <f aca="false">IF(ISNUMBER(VLOOKUP($A6,WBS_계획!$A:$O,7,FALSE())),IF(AND(H$5&gt;=VLOOKUP($A6,WBS_계획!$A:$O,7,FALSE()),H$5&lt;=VLOOKUP($A6,WBS_계획!$A:$O,8,FALSE())),IF(LEFT($A6,1)="M","◆","■"),""),"")</f>
        <v/>
      </c>
      <c r="I6" s="5" t="str">
        <f aca="false">IF(ISNUMBER(VLOOKUP($A6,WBS_계획!$A:$O,7,FALSE())),IF(AND(I$5&gt;=VLOOKUP($A6,WBS_계획!$A:$O,7,FALSE()),I$5&lt;=VLOOKUP($A6,WBS_계획!$A:$O,8,FALSE())),IF(LEFT($A6,1)="M","◆","■"),""),"")</f>
        <v/>
      </c>
      <c r="J6" s="5" t="str">
        <f aca="false">IF(ISNUMBER(VLOOKUP($A6,WBS_계획!$A:$O,7,FALSE())),IF(AND(J$5&gt;=VLOOKUP($A6,WBS_계획!$A:$O,7,FALSE()),J$5&lt;=VLOOKUP($A6,WBS_계획!$A:$O,8,FALSE())),IF(LEFT($A6,1)="M","◆","■"),""),"")</f>
        <v/>
      </c>
      <c r="K6" s="5" t="str">
        <f aca="false">IF(ISNUMBER(VLOOKUP($A6,WBS_계획!$A:$O,7,FALSE())),IF(AND(K$5&gt;=VLOOKUP($A6,WBS_계획!$A:$O,7,FALSE()),K$5&lt;=VLOOKUP($A6,WBS_계획!$A:$O,8,FALSE())),IF(LEFT($A6,1)="M","◆","■"),""),"")</f>
        <v/>
      </c>
      <c r="L6" s="5" t="str">
        <f aca="false">IF(ISNUMBER(VLOOKUP($A6,WBS_계획!$A:$O,7,FALSE())),IF(AND(L$5&gt;=VLOOKUP($A6,WBS_계획!$A:$O,7,FALSE()),L$5&lt;=VLOOKUP($A6,WBS_계획!$A:$O,8,FALSE())),IF(LEFT($A6,1)="M","◆","■"),""),"")</f>
        <v/>
      </c>
      <c r="M6" s="5" t="str">
        <f aca="false">IF(ISNUMBER(VLOOKUP($A6,WBS_계획!$A:$O,7,FALSE())),IF(AND(M$5&gt;=VLOOKUP($A6,WBS_계획!$A:$O,7,FALSE()),M$5&lt;=VLOOKUP($A6,WBS_계획!$A:$O,8,FALSE())),IF(LEFT($A6,1)="M","◆","■"),""),"")</f>
        <v/>
      </c>
    </row>
    <row r="7" customFormat="false" ht="27.75" hidden="false" customHeight="true" outlineLevel="0" collapsed="false">
      <c r="A7" s="5" t="s">
        <v>26</v>
      </c>
      <c r="B7" s="7" t="str">
        <f aca="false">VLOOKUP($A7,WBS_계획!$A:$O,4,FALSE())</f>
        <v>계획서·SRS v0.2·README 작성</v>
      </c>
      <c r="C7" s="5" t="str">
        <f aca="false">VLOOKUP($A7,WBS_계획!$A:$O,6,FALSE())</f>
        <v>김예은</v>
      </c>
      <c r="D7" s="8" t="str">
        <f aca="false">VLOOKUP($A7,WBS_계획!$A:$O,12,FALSE())</f>
        <v>완료</v>
      </c>
      <c r="E7" s="5" t="str">
        <f aca="false">IF(ISNUMBER(VLOOKUP($A7,WBS_계획!$A:$O,7,FALSE())),IF(AND(E$5&gt;=VLOOKUP($A7,WBS_계획!$A:$O,7,FALSE()),E$5&lt;=VLOOKUP($A7,WBS_계획!$A:$O,8,FALSE())),IF(LEFT($A7,1)="M","◆","■"),""),"")</f>
        <v>■</v>
      </c>
      <c r="F7" s="5" t="str">
        <f aca="false">IF(ISNUMBER(VLOOKUP($A7,WBS_계획!$A:$O,7,FALSE())),IF(AND(F$5&gt;=VLOOKUP($A7,WBS_계획!$A:$O,7,FALSE()),F$5&lt;=VLOOKUP($A7,WBS_계획!$A:$O,8,FALSE())),IF(LEFT($A7,1)="M","◆","■"),""),"")</f>
        <v/>
      </c>
      <c r="G7" s="5" t="str">
        <f aca="false">IF(ISNUMBER(VLOOKUP($A7,WBS_계획!$A:$O,7,FALSE())),IF(AND(G$5&gt;=VLOOKUP($A7,WBS_계획!$A:$O,7,FALSE()),G$5&lt;=VLOOKUP($A7,WBS_계획!$A:$O,8,FALSE())),IF(LEFT($A7,1)="M","◆","■"),""),"")</f>
        <v/>
      </c>
      <c r="H7" s="5" t="str">
        <f aca="false">IF(ISNUMBER(VLOOKUP($A7,WBS_계획!$A:$O,7,FALSE())),IF(AND(H$5&gt;=VLOOKUP($A7,WBS_계획!$A:$O,7,FALSE()),H$5&lt;=VLOOKUP($A7,WBS_계획!$A:$O,8,FALSE())),IF(LEFT($A7,1)="M","◆","■"),""),"")</f>
        <v/>
      </c>
      <c r="I7" s="5" t="str">
        <f aca="false">IF(ISNUMBER(VLOOKUP($A7,WBS_계획!$A:$O,7,FALSE())),IF(AND(I$5&gt;=VLOOKUP($A7,WBS_계획!$A:$O,7,FALSE()),I$5&lt;=VLOOKUP($A7,WBS_계획!$A:$O,8,FALSE())),IF(LEFT($A7,1)="M","◆","■"),""),"")</f>
        <v/>
      </c>
      <c r="J7" s="5" t="str">
        <f aca="false">IF(ISNUMBER(VLOOKUP($A7,WBS_계획!$A:$O,7,FALSE())),IF(AND(J$5&gt;=VLOOKUP($A7,WBS_계획!$A:$O,7,FALSE()),J$5&lt;=VLOOKUP($A7,WBS_계획!$A:$O,8,FALSE())),IF(LEFT($A7,1)="M","◆","■"),""),"")</f>
        <v/>
      </c>
      <c r="K7" s="5" t="str">
        <f aca="false">IF(ISNUMBER(VLOOKUP($A7,WBS_계획!$A:$O,7,FALSE())),IF(AND(K$5&gt;=VLOOKUP($A7,WBS_계획!$A:$O,7,FALSE()),K$5&lt;=VLOOKUP($A7,WBS_계획!$A:$O,8,FALSE())),IF(LEFT($A7,1)="M","◆","■"),""),"")</f>
        <v/>
      </c>
      <c r="L7" s="5" t="str">
        <f aca="false">IF(ISNUMBER(VLOOKUP($A7,WBS_계획!$A:$O,7,FALSE())),IF(AND(L$5&gt;=VLOOKUP($A7,WBS_계획!$A:$O,7,FALSE()),L$5&lt;=VLOOKUP($A7,WBS_계획!$A:$O,8,FALSE())),IF(LEFT($A7,1)="M","◆","■"),""),"")</f>
        <v/>
      </c>
      <c r="M7" s="5" t="str">
        <f aca="false">IF(ISNUMBER(VLOOKUP($A7,WBS_계획!$A:$O,7,FALSE())),IF(AND(M$5&gt;=VLOOKUP($A7,WBS_계획!$A:$O,7,FALSE()),M$5&lt;=VLOOKUP($A7,WBS_계획!$A:$O,8,FALSE())),IF(LEFT($A7,1)="M","◆","■"),""),"")</f>
        <v/>
      </c>
    </row>
    <row r="8" customFormat="false" ht="27.75" hidden="false" customHeight="true" outlineLevel="0" collapsed="false">
      <c r="A8" s="5" t="s">
        <v>32</v>
      </c>
      <c r="B8" s="7" t="str">
        <f aca="false">VLOOKUP($A8,WBS_계획!$A:$O,4,FALSE())</f>
        <v>공통 구조 확정 (CarConfig 필드, 영역 좌표, 레이어·태그, 차량 에셋)</v>
      </c>
      <c r="C8" s="5" t="str">
        <f aca="false">VLOOKUP($A8,WBS_계획!$A:$O,6,FALSE())</f>
        <v>공동</v>
      </c>
      <c r="D8" s="8" t="str">
        <f aca="false">VLOOKUP($A8,WBS_계획!$A:$O,12,FALSE())</f>
        <v>미착수</v>
      </c>
      <c r="E8" s="5" t="str">
        <f aca="false">IF(ISNUMBER(VLOOKUP($A8,WBS_계획!$A:$O,7,FALSE())),IF(AND(E$5&gt;=VLOOKUP($A8,WBS_계획!$A:$O,7,FALSE()),E$5&lt;=VLOOKUP($A8,WBS_계획!$A:$O,8,FALSE())),IF(LEFT($A8,1)="M","◆","■"),""),"")</f>
        <v>■</v>
      </c>
      <c r="F8" s="5" t="str">
        <f aca="false">IF(ISNUMBER(VLOOKUP($A8,WBS_계획!$A:$O,7,FALSE())),IF(AND(F$5&gt;=VLOOKUP($A8,WBS_계획!$A:$O,7,FALSE()),F$5&lt;=VLOOKUP($A8,WBS_계획!$A:$O,8,FALSE())),IF(LEFT($A8,1)="M","◆","■"),""),"")</f>
        <v/>
      </c>
      <c r="G8" s="5" t="str">
        <f aca="false">IF(ISNUMBER(VLOOKUP($A8,WBS_계획!$A:$O,7,FALSE())),IF(AND(G$5&gt;=VLOOKUP($A8,WBS_계획!$A:$O,7,FALSE()),G$5&lt;=VLOOKUP($A8,WBS_계획!$A:$O,8,FALSE())),IF(LEFT($A8,1)="M","◆","■"),""),"")</f>
        <v/>
      </c>
      <c r="H8" s="5" t="str">
        <f aca="false">IF(ISNUMBER(VLOOKUP($A8,WBS_계획!$A:$O,7,FALSE())),IF(AND(H$5&gt;=VLOOKUP($A8,WBS_계획!$A:$O,7,FALSE()),H$5&lt;=VLOOKUP($A8,WBS_계획!$A:$O,8,FALSE())),IF(LEFT($A8,1)="M","◆","■"),""),"")</f>
        <v/>
      </c>
      <c r="I8" s="5" t="str">
        <f aca="false">IF(ISNUMBER(VLOOKUP($A8,WBS_계획!$A:$O,7,FALSE())),IF(AND(I$5&gt;=VLOOKUP($A8,WBS_계획!$A:$O,7,FALSE()),I$5&lt;=VLOOKUP($A8,WBS_계획!$A:$O,8,FALSE())),IF(LEFT($A8,1)="M","◆","■"),""),"")</f>
        <v/>
      </c>
      <c r="J8" s="5" t="str">
        <f aca="false">IF(ISNUMBER(VLOOKUP($A8,WBS_계획!$A:$O,7,FALSE())),IF(AND(J$5&gt;=VLOOKUP($A8,WBS_계획!$A:$O,7,FALSE()),J$5&lt;=VLOOKUP($A8,WBS_계획!$A:$O,8,FALSE())),IF(LEFT($A8,1)="M","◆","■"),""),"")</f>
        <v/>
      </c>
      <c r="K8" s="5" t="str">
        <f aca="false">IF(ISNUMBER(VLOOKUP($A8,WBS_계획!$A:$O,7,FALSE())),IF(AND(K$5&gt;=VLOOKUP($A8,WBS_계획!$A:$O,7,FALSE()),K$5&lt;=VLOOKUP($A8,WBS_계획!$A:$O,8,FALSE())),IF(LEFT($A8,1)="M","◆","■"),""),"")</f>
        <v/>
      </c>
      <c r="L8" s="5" t="str">
        <f aca="false">IF(ISNUMBER(VLOOKUP($A8,WBS_계획!$A:$O,7,FALSE())),IF(AND(L$5&gt;=VLOOKUP($A8,WBS_계획!$A:$O,7,FALSE()),L$5&lt;=VLOOKUP($A8,WBS_계획!$A:$O,8,FALSE())),IF(LEFT($A8,1)="M","◆","■"),""),"")</f>
        <v/>
      </c>
      <c r="M8" s="5" t="str">
        <f aca="false">IF(ISNUMBER(VLOOKUP($A8,WBS_계획!$A:$O,7,FALSE())),IF(AND(M$5&gt;=VLOOKUP($A8,WBS_계획!$A:$O,7,FALSE()),M$5&lt;=VLOOKUP($A8,WBS_계획!$A:$O,8,FALSE())),IF(LEFT($A8,1)="M","◆","■"),""),"")</f>
        <v/>
      </c>
    </row>
    <row r="9" customFormat="false" ht="27.75" hidden="false" customHeight="true" outlineLevel="0" collapsed="false">
      <c r="A9" s="5" t="s">
        <v>39</v>
      </c>
      <c r="B9" s="7" t="str">
        <f aca="false">VLOOKUP($A9,WBS_계획!$A:$O,4,FALSE())</f>
        <v>GitHub 저장소·main/dev 브랜치, .gitignore, Git LFS, Force Text</v>
      </c>
      <c r="C9" s="5" t="str">
        <f aca="false">VLOOKUP($A9,WBS_계획!$A:$O,6,FALSE())</f>
        <v>김예은</v>
      </c>
      <c r="D9" s="8" t="str">
        <f aca="false">VLOOKUP($A9,WBS_계획!$A:$O,12,FALSE())</f>
        <v>미착수</v>
      </c>
      <c r="E9" s="5" t="str">
        <f aca="false">IF(ISNUMBER(VLOOKUP($A9,WBS_계획!$A:$O,7,FALSE())),IF(AND(E$5&gt;=VLOOKUP($A9,WBS_계획!$A:$O,7,FALSE()),E$5&lt;=VLOOKUP($A9,WBS_계획!$A:$O,8,FALSE())),IF(LEFT($A9,1)="M","◆","■"),""),"")</f>
        <v>■</v>
      </c>
      <c r="F9" s="5" t="str">
        <f aca="false">IF(ISNUMBER(VLOOKUP($A9,WBS_계획!$A:$O,7,FALSE())),IF(AND(F$5&gt;=VLOOKUP($A9,WBS_계획!$A:$O,7,FALSE()),F$5&lt;=VLOOKUP($A9,WBS_계획!$A:$O,8,FALSE())),IF(LEFT($A9,1)="M","◆","■"),""),"")</f>
        <v/>
      </c>
      <c r="G9" s="5" t="str">
        <f aca="false">IF(ISNUMBER(VLOOKUP($A9,WBS_계획!$A:$O,7,FALSE())),IF(AND(G$5&gt;=VLOOKUP($A9,WBS_계획!$A:$O,7,FALSE()),G$5&lt;=VLOOKUP($A9,WBS_계획!$A:$O,8,FALSE())),IF(LEFT($A9,1)="M","◆","■"),""),"")</f>
        <v/>
      </c>
      <c r="H9" s="5" t="str">
        <f aca="false">IF(ISNUMBER(VLOOKUP($A9,WBS_계획!$A:$O,7,FALSE())),IF(AND(H$5&gt;=VLOOKUP($A9,WBS_계획!$A:$O,7,FALSE()),H$5&lt;=VLOOKUP($A9,WBS_계획!$A:$O,8,FALSE())),IF(LEFT($A9,1)="M","◆","■"),""),"")</f>
        <v/>
      </c>
      <c r="I9" s="5" t="str">
        <f aca="false">IF(ISNUMBER(VLOOKUP($A9,WBS_계획!$A:$O,7,FALSE())),IF(AND(I$5&gt;=VLOOKUP($A9,WBS_계획!$A:$O,7,FALSE()),I$5&lt;=VLOOKUP($A9,WBS_계획!$A:$O,8,FALSE())),IF(LEFT($A9,1)="M","◆","■"),""),"")</f>
        <v/>
      </c>
      <c r="J9" s="5" t="str">
        <f aca="false">IF(ISNUMBER(VLOOKUP($A9,WBS_계획!$A:$O,7,FALSE())),IF(AND(J$5&gt;=VLOOKUP($A9,WBS_계획!$A:$O,7,FALSE()),J$5&lt;=VLOOKUP($A9,WBS_계획!$A:$O,8,FALSE())),IF(LEFT($A9,1)="M","◆","■"),""),"")</f>
        <v/>
      </c>
      <c r="K9" s="5" t="str">
        <f aca="false">IF(ISNUMBER(VLOOKUP($A9,WBS_계획!$A:$O,7,FALSE())),IF(AND(K$5&gt;=VLOOKUP($A9,WBS_계획!$A:$O,7,FALSE()),K$5&lt;=VLOOKUP($A9,WBS_계획!$A:$O,8,FALSE())),IF(LEFT($A9,1)="M","◆","■"),""),"")</f>
        <v/>
      </c>
      <c r="L9" s="5" t="str">
        <f aca="false">IF(ISNUMBER(VLOOKUP($A9,WBS_계획!$A:$O,7,FALSE())),IF(AND(L$5&gt;=VLOOKUP($A9,WBS_계획!$A:$O,7,FALSE()),L$5&lt;=VLOOKUP($A9,WBS_계획!$A:$O,8,FALSE())),IF(LEFT($A9,1)="M","◆","■"),""),"")</f>
        <v/>
      </c>
      <c r="M9" s="5" t="str">
        <f aca="false">IF(ISNUMBER(VLOOKUP($A9,WBS_계획!$A:$O,7,FALSE())),IF(AND(M$5&gt;=VLOOKUP($A9,WBS_계획!$A:$O,7,FALSE()),M$5&lt;=VLOOKUP($A9,WBS_계획!$A:$O,8,FALSE())),IF(LEFT($A9,1)="M","◆","■"),""),"")</f>
        <v/>
      </c>
    </row>
    <row r="10" customFormat="false" ht="27.75" hidden="false" customHeight="true" outlineLevel="0" collapsed="false">
      <c r="A10" s="5" t="s">
        <v>45</v>
      </c>
      <c r="B10" s="7" t="str">
        <f aca="false">VLOOKUP($A10,WBS_계획!$A:$O,4,FALSE())</f>
        <v>Unity 버전 통일, 두 PC에서 프로젝트 열기 확인</v>
      </c>
      <c r="C10" s="5" t="str">
        <f aca="false">VLOOKUP($A10,WBS_계획!$A:$O,6,FALSE())</f>
        <v>공동</v>
      </c>
      <c r="D10" s="8" t="str">
        <f aca="false">VLOOKUP($A10,WBS_계획!$A:$O,12,FALSE())</f>
        <v>미착수</v>
      </c>
      <c r="E10" s="5" t="str">
        <f aca="false">IF(ISNUMBER(VLOOKUP($A10,WBS_계획!$A:$O,7,FALSE())),IF(AND(E$5&gt;=VLOOKUP($A10,WBS_계획!$A:$O,7,FALSE()),E$5&lt;=VLOOKUP($A10,WBS_계획!$A:$O,8,FALSE())),IF(LEFT($A10,1)="M","◆","■"),""),"")</f>
        <v>■</v>
      </c>
      <c r="F10" s="5" t="str">
        <f aca="false">IF(ISNUMBER(VLOOKUP($A10,WBS_계획!$A:$O,7,FALSE())),IF(AND(F$5&gt;=VLOOKUP($A10,WBS_계획!$A:$O,7,FALSE()),F$5&lt;=VLOOKUP($A10,WBS_계획!$A:$O,8,FALSE())),IF(LEFT($A10,1)="M","◆","■"),""),"")</f>
        <v/>
      </c>
      <c r="G10" s="5" t="str">
        <f aca="false">IF(ISNUMBER(VLOOKUP($A10,WBS_계획!$A:$O,7,FALSE())),IF(AND(G$5&gt;=VLOOKUP($A10,WBS_계획!$A:$O,7,FALSE()),G$5&lt;=VLOOKUP($A10,WBS_계획!$A:$O,8,FALSE())),IF(LEFT($A10,1)="M","◆","■"),""),"")</f>
        <v/>
      </c>
      <c r="H10" s="5" t="str">
        <f aca="false">IF(ISNUMBER(VLOOKUP($A10,WBS_계획!$A:$O,7,FALSE())),IF(AND(H$5&gt;=VLOOKUP($A10,WBS_계획!$A:$O,7,FALSE()),H$5&lt;=VLOOKUP($A10,WBS_계획!$A:$O,8,FALSE())),IF(LEFT($A10,1)="M","◆","■"),""),"")</f>
        <v/>
      </c>
      <c r="I10" s="5" t="str">
        <f aca="false">IF(ISNUMBER(VLOOKUP($A10,WBS_계획!$A:$O,7,FALSE())),IF(AND(I$5&gt;=VLOOKUP($A10,WBS_계획!$A:$O,7,FALSE()),I$5&lt;=VLOOKUP($A10,WBS_계획!$A:$O,8,FALSE())),IF(LEFT($A10,1)="M","◆","■"),""),"")</f>
        <v/>
      </c>
      <c r="J10" s="5" t="str">
        <f aca="false">IF(ISNUMBER(VLOOKUP($A10,WBS_계획!$A:$O,7,FALSE())),IF(AND(J$5&gt;=VLOOKUP($A10,WBS_계획!$A:$O,7,FALSE()),J$5&lt;=VLOOKUP($A10,WBS_계획!$A:$O,8,FALSE())),IF(LEFT($A10,1)="M","◆","■"),""),"")</f>
        <v/>
      </c>
      <c r="K10" s="5" t="str">
        <f aca="false">IF(ISNUMBER(VLOOKUP($A10,WBS_계획!$A:$O,7,FALSE())),IF(AND(K$5&gt;=VLOOKUP($A10,WBS_계획!$A:$O,7,FALSE()),K$5&lt;=VLOOKUP($A10,WBS_계획!$A:$O,8,FALSE())),IF(LEFT($A10,1)="M","◆","■"),""),"")</f>
        <v/>
      </c>
      <c r="L10" s="5" t="str">
        <f aca="false">IF(ISNUMBER(VLOOKUP($A10,WBS_계획!$A:$O,7,FALSE())),IF(AND(L$5&gt;=VLOOKUP($A10,WBS_계획!$A:$O,7,FALSE()),L$5&lt;=VLOOKUP($A10,WBS_계획!$A:$O,8,FALSE())),IF(LEFT($A10,1)="M","◆","■"),""),"")</f>
        <v/>
      </c>
      <c r="M10" s="5" t="str">
        <f aca="false">IF(ISNUMBER(VLOOKUP($A10,WBS_계획!$A:$O,7,FALSE())),IF(AND(M$5&gt;=VLOOKUP($A10,WBS_계획!$A:$O,7,FALSE()),M$5&lt;=VLOOKUP($A10,WBS_계획!$A:$O,8,FALSE())),IF(LEFT($A10,1)="M","◆","■"),""),"")</f>
        <v/>
      </c>
    </row>
    <row r="11" customFormat="false" ht="27.75" hidden="false" customHeight="true" outlineLevel="0" collapsed="false">
      <c r="A11" s="5" t="s">
        <v>52</v>
      </c>
      <c r="B11" s="7" t="str">
        <f aca="false">VLOOKUP($A11,WBS_계획!$A:$O,4,FALSE())</f>
        <v>WBS·간트 관리, 매일 19:00 진척 갱신</v>
      </c>
      <c r="C11" s="5" t="str">
        <f aca="false">VLOOKUP($A11,WBS_계획!$A:$O,6,FALSE())</f>
        <v>공동</v>
      </c>
      <c r="D11" s="8" t="str">
        <f aca="false">VLOOKUP($A11,WBS_계획!$A:$O,12,FALSE())</f>
        <v>진행중</v>
      </c>
      <c r="E11" s="5" t="str">
        <f aca="false">IF(ISNUMBER(VLOOKUP($A11,WBS_계획!$A:$O,7,FALSE())),IF(AND(E$5&gt;=VLOOKUP($A11,WBS_계획!$A:$O,7,FALSE()),E$5&lt;=VLOOKUP($A11,WBS_계획!$A:$O,8,FALSE())),IF(LEFT($A11,1)="M","◆","■"),""),"")</f>
        <v>■</v>
      </c>
      <c r="F11" s="5" t="str">
        <f aca="false">IF(ISNUMBER(VLOOKUP($A11,WBS_계획!$A:$O,7,FALSE())),IF(AND(F$5&gt;=VLOOKUP($A11,WBS_계획!$A:$O,7,FALSE()),F$5&lt;=VLOOKUP($A11,WBS_계획!$A:$O,8,FALSE())),IF(LEFT($A11,1)="M","◆","■"),""),"")</f>
        <v>■</v>
      </c>
      <c r="G11" s="5" t="str">
        <f aca="false">IF(ISNUMBER(VLOOKUP($A11,WBS_계획!$A:$O,7,FALSE())),IF(AND(G$5&gt;=VLOOKUP($A11,WBS_계획!$A:$O,7,FALSE()),G$5&lt;=VLOOKUP($A11,WBS_계획!$A:$O,8,FALSE())),IF(LEFT($A11,1)="M","◆","■"),""),"")</f>
        <v>■</v>
      </c>
      <c r="H11" s="5" t="str">
        <f aca="false">IF(ISNUMBER(VLOOKUP($A11,WBS_계획!$A:$O,7,FALSE())),IF(AND(H$5&gt;=VLOOKUP($A11,WBS_계획!$A:$O,7,FALSE()),H$5&lt;=VLOOKUP($A11,WBS_계획!$A:$O,8,FALSE())),IF(LEFT($A11,1)="M","◆","■"),""),"")</f>
        <v>■</v>
      </c>
      <c r="I11" s="5" t="str">
        <f aca="false">IF(ISNUMBER(VLOOKUP($A11,WBS_계획!$A:$O,7,FALSE())),IF(AND(I$5&gt;=VLOOKUP($A11,WBS_계획!$A:$O,7,FALSE()),I$5&lt;=VLOOKUP($A11,WBS_계획!$A:$O,8,FALSE())),IF(LEFT($A11,1)="M","◆","■"),""),"")</f>
        <v>■</v>
      </c>
      <c r="J11" s="5" t="str">
        <f aca="false">IF(ISNUMBER(VLOOKUP($A11,WBS_계획!$A:$O,7,FALSE())),IF(AND(J$5&gt;=VLOOKUP($A11,WBS_계획!$A:$O,7,FALSE()),J$5&lt;=VLOOKUP($A11,WBS_계획!$A:$O,8,FALSE())),IF(LEFT($A11,1)="M","◆","■"),""),"")</f>
        <v>■</v>
      </c>
      <c r="K11" s="5" t="str">
        <f aca="false">IF(ISNUMBER(VLOOKUP($A11,WBS_계획!$A:$O,7,FALSE())),IF(AND(K$5&gt;=VLOOKUP($A11,WBS_계획!$A:$O,7,FALSE()),K$5&lt;=VLOOKUP($A11,WBS_계획!$A:$O,8,FALSE())),IF(LEFT($A11,1)="M","◆","■"),""),"")</f>
        <v>■</v>
      </c>
      <c r="L11" s="5" t="str">
        <f aca="false">IF(ISNUMBER(VLOOKUP($A11,WBS_계획!$A:$O,7,FALSE())),IF(AND(L$5&gt;=VLOOKUP($A11,WBS_계획!$A:$O,7,FALSE()),L$5&lt;=VLOOKUP($A11,WBS_계획!$A:$O,8,FALSE())),IF(LEFT($A11,1)="M","◆","■"),""),"")</f>
        <v>■</v>
      </c>
      <c r="M11" s="5" t="str">
        <f aca="false">IF(ISNUMBER(VLOOKUP($A11,WBS_계획!$A:$O,7,FALSE())),IF(AND(M$5&gt;=VLOOKUP($A11,WBS_계획!$A:$O,7,FALSE()),M$5&lt;=VLOOKUP($A11,WBS_계획!$A:$O,8,FALSE())),IF(LEFT($A11,1)="M","◆","■"),""),"")</f>
        <v>■</v>
      </c>
    </row>
    <row r="12" customFormat="false" ht="27.75" hidden="false" customHeight="true" outlineLevel="0" collapsed="false">
      <c r="A12" s="5" t="s">
        <v>58</v>
      </c>
      <c r="B12" s="7" t="str">
        <f aca="false">VLOOKUP($A12,WBS_계획!$A:$O,4,FALSE())</f>
        <v>MainScene·ModeManager·AreaBase (Additive 로드·전환·초기화)</v>
      </c>
      <c r="C12" s="5" t="str">
        <f aca="false">VLOOKUP($A12,WBS_계획!$A:$O,6,FALSE())</f>
        <v>김예은</v>
      </c>
      <c r="D12" s="8" t="str">
        <f aca="false">VLOOKUP($A12,WBS_계획!$A:$O,12,FALSE())</f>
        <v>미착수</v>
      </c>
      <c r="E12" s="5" t="str">
        <f aca="false">IF(ISNUMBER(VLOOKUP($A12,WBS_계획!$A:$O,7,FALSE())),IF(AND(E$5&gt;=VLOOKUP($A12,WBS_계획!$A:$O,7,FALSE()),E$5&lt;=VLOOKUP($A12,WBS_계획!$A:$O,8,FALSE())),IF(LEFT($A12,1)="M","◆","■"),""),"")</f>
        <v/>
      </c>
      <c r="F12" s="5" t="str">
        <f aca="false">IF(ISNUMBER(VLOOKUP($A12,WBS_계획!$A:$O,7,FALSE())),IF(AND(F$5&gt;=VLOOKUP($A12,WBS_계획!$A:$O,7,FALSE()),F$5&lt;=VLOOKUP($A12,WBS_계획!$A:$O,8,FALSE())),IF(LEFT($A12,1)="M","◆","■"),""),"")</f>
        <v>■</v>
      </c>
      <c r="G12" s="5" t="str">
        <f aca="false">IF(ISNUMBER(VLOOKUP($A12,WBS_계획!$A:$O,7,FALSE())),IF(AND(G$5&gt;=VLOOKUP($A12,WBS_계획!$A:$O,7,FALSE()),G$5&lt;=VLOOKUP($A12,WBS_계획!$A:$O,8,FALSE())),IF(LEFT($A12,1)="M","◆","■"),""),"")</f>
        <v/>
      </c>
      <c r="H12" s="5" t="str">
        <f aca="false">IF(ISNUMBER(VLOOKUP($A12,WBS_계획!$A:$O,7,FALSE())),IF(AND(H$5&gt;=VLOOKUP($A12,WBS_계획!$A:$O,7,FALSE()),H$5&lt;=VLOOKUP($A12,WBS_계획!$A:$O,8,FALSE())),IF(LEFT($A12,1)="M","◆","■"),""),"")</f>
        <v/>
      </c>
      <c r="I12" s="5" t="str">
        <f aca="false">IF(ISNUMBER(VLOOKUP($A12,WBS_계획!$A:$O,7,FALSE())),IF(AND(I$5&gt;=VLOOKUP($A12,WBS_계획!$A:$O,7,FALSE()),I$5&lt;=VLOOKUP($A12,WBS_계획!$A:$O,8,FALSE())),IF(LEFT($A12,1)="M","◆","■"),""),"")</f>
        <v/>
      </c>
      <c r="J12" s="5" t="str">
        <f aca="false">IF(ISNUMBER(VLOOKUP($A12,WBS_계획!$A:$O,7,FALSE())),IF(AND(J$5&gt;=VLOOKUP($A12,WBS_계획!$A:$O,7,FALSE()),J$5&lt;=VLOOKUP($A12,WBS_계획!$A:$O,8,FALSE())),IF(LEFT($A12,1)="M","◆","■"),""),"")</f>
        <v/>
      </c>
      <c r="K12" s="5" t="str">
        <f aca="false">IF(ISNUMBER(VLOOKUP($A12,WBS_계획!$A:$O,7,FALSE())),IF(AND(K$5&gt;=VLOOKUP($A12,WBS_계획!$A:$O,7,FALSE()),K$5&lt;=VLOOKUP($A12,WBS_계획!$A:$O,8,FALSE())),IF(LEFT($A12,1)="M","◆","■"),""),"")</f>
        <v/>
      </c>
      <c r="L12" s="5" t="str">
        <f aca="false">IF(ISNUMBER(VLOOKUP($A12,WBS_계획!$A:$O,7,FALSE())),IF(AND(L$5&gt;=VLOOKUP($A12,WBS_계획!$A:$O,7,FALSE()),L$5&lt;=VLOOKUP($A12,WBS_계획!$A:$O,8,FALSE())),IF(LEFT($A12,1)="M","◆","■"),""),"")</f>
        <v/>
      </c>
      <c r="M12" s="5" t="str">
        <f aca="false">IF(ISNUMBER(VLOOKUP($A12,WBS_계획!$A:$O,7,FALSE())),IF(AND(M$5&gt;=VLOOKUP($A12,WBS_계획!$A:$O,7,FALSE()),M$5&lt;=VLOOKUP($A12,WBS_계획!$A:$O,8,FALSE())),IF(LEFT($A12,1)="M","◆","■"),""),"")</f>
        <v/>
      </c>
    </row>
    <row r="13" customFormat="false" ht="27.75" hidden="false" customHeight="true" outlineLevel="0" collapsed="false">
      <c r="A13" s="5" t="s">
        <v>65</v>
      </c>
      <c r="B13" s="7" t="str">
        <f aca="false">VLOOKUP($A13,WBS_계획!$A:$O,4,FALSE())</f>
        <v>공통 차량 프리팹, CarController (WheelCollider, 스크립트 입력)</v>
      </c>
      <c r="C13" s="5" t="str">
        <f aca="false">VLOOKUP($A13,WBS_계획!$A:$O,6,FALSE())</f>
        <v>김예은</v>
      </c>
      <c r="D13" s="8" t="str">
        <f aca="false">VLOOKUP($A13,WBS_계획!$A:$O,12,FALSE())</f>
        <v>미착수</v>
      </c>
      <c r="E13" s="5" t="str">
        <f aca="false">IF(ISNUMBER(VLOOKUP($A13,WBS_계획!$A:$O,7,FALSE())),IF(AND(E$5&gt;=VLOOKUP($A13,WBS_계획!$A:$O,7,FALSE()),E$5&lt;=VLOOKUP($A13,WBS_계획!$A:$O,8,FALSE())),IF(LEFT($A13,1)="M","◆","■"),""),"")</f>
        <v/>
      </c>
      <c r="F13" s="5" t="str">
        <f aca="false">IF(ISNUMBER(VLOOKUP($A13,WBS_계획!$A:$O,7,FALSE())),IF(AND(F$5&gt;=VLOOKUP($A13,WBS_계획!$A:$O,7,FALSE()),F$5&lt;=VLOOKUP($A13,WBS_계획!$A:$O,8,FALSE())),IF(LEFT($A13,1)="M","◆","■"),""),"")</f>
        <v>■</v>
      </c>
      <c r="G13" s="5" t="str">
        <f aca="false">IF(ISNUMBER(VLOOKUP($A13,WBS_계획!$A:$O,7,FALSE())),IF(AND(G$5&gt;=VLOOKUP($A13,WBS_계획!$A:$O,7,FALSE()),G$5&lt;=VLOOKUP($A13,WBS_계획!$A:$O,8,FALSE())),IF(LEFT($A13,1)="M","◆","■"),""),"")</f>
        <v/>
      </c>
      <c r="H13" s="5" t="str">
        <f aca="false">IF(ISNUMBER(VLOOKUP($A13,WBS_계획!$A:$O,7,FALSE())),IF(AND(H$5&gt;=VLOOKUP($A13,WBS_계획!$A:$O,7,FALSE()),H$5&lt;=VLOOKUP($A13,WBS_계획!$A:$O,8,FALSE())),IF(LEFT($A13,1)="M","◆","■"),""),"")</f>
        <v/>
      </c>
      <c r="I13" s="5" t="str">
        <f aca="false">IF(ISNUMBER(VLOOKUP($A13,WBS_계획!$A:$O,7,FALSE())),IF(AND(I$5&gt;=VLOOKUP($A13,WBS_계획!$A:$O,7,FALSE()),I$5&lt;=VLOOKUP($A13,WBS_계획!$A:$O,8,FALSE())),IF(LEFT($A13,1)="M","◆","■"),""),"")</f>
        <v/>
      </c>
      <c r="J13" s="5" t="str">
        <f aca="false">IF(ISNUMBER(VLOOKUP($A13,WBS_계획!$A:$O,7,FALSE())),IF(AND(J$5&gt;=VLOOKUP($A13,WBS_계획!$A:$O,7,FALSE()),J$5&lt;=VLOOKUP($A13,WBS_계획!$A:$O,8,FALSE())),IF(LEFT($A13,1)="M","◆","■"),""),"")</f>
        <v/>
      </c>
      <c r="K13" s="5" t="str">
        <f aca="false">IF(ISNUMBER(VLOOKUP($A13,WBS_계획!$A:$O,7,FALSE())),IF(AND(K$5&gt;=VLOOKUP($A13,WBS_계획!$A:$O,7,FALSE()),K$5&lt;=VLOOKUP($A13,WBS_계획!$A:$O,8,FALSE())),IF(LEFT($A13,1)="M","◆","■"),""),"")</f>
        <v/>
      </c>
      <c r="L13" s="5" t="str">
        <f aca="false">IF(ISNUMBER(VLOOKUP($A13,WBS_계획!$A:$O,7,FALSE())),IF(AND(L$5&gt;=VLOOKUP($A13,WBS_계획!$A:$O,7,FALSE()),L$5&lt;=VLOOKUP($A13,WBS_계획!$A:$O,8,FALSE())),IF(LEFT($A13,1)="M","◆","■"),""),"")</f>
        <v/>
      </c>
      <c r="M13" s="5" t="str">
        <f aca="false">IF(ISNUMBER(VLOOKUP($A13,WBS_계획!$A:$O,7,FALSE())),IF(AND(M$5&gt;=VLOOKUP($A13,WBS_계획!$A:$O,7,FALSE()),M$5&lt;=VLOOKUP($A13,WBS_계획!$A:$O,8,FALSE())),IF(LEFT($A13,1)="M","◆","■"),""),"")</f>
        <v/>
      </c>
    </row>
    <row r="14" customFormat="false" ht="27.75" hidden="false" customHeight="true" outlineLevel="0" collapsed="false">
      <c r="A14" s="5" t="s">
        <v>71</v>
      </c>
      <c r="B14" s="7" t="str">
        <f aca="false">VLOOKUP($A14,WBS_계획!$A:$O,4,FALSE())</f>
        <v>ConfiguratorArea 쇼룸, UI-01 외관 선택, UI-02 기능 선택</v>
      </c>
      <c r="C14" s="5" t="str">
        <f aca="false">VLOOKUP($A14,WBS_계획!$A:$O,6,FALSE())</f>
        <v>강유나</v>
      </c>
      <c r="D14" s="8" t="str">
        <f aca="false">VLOOKUP($A14,WBS_계획!$A:$O,12,FALSE())</f>
        <v>미착수</v>
      </c>
      <c r="E14" s="5" t="str">
        <f aca="false">IF(ISNUMBER(VLOOKUP($A14,WBS_계획!$A:$O,7,FALSE())),IF(AND(E$5&gt;=VLOOKUP($A14,WBS_계획!$A:$O,7,FALSE()),E$5&lt;=VLOOKUP($A14,WBS_계획!$A:$O,8,FALSE())),IF(LEFT($A14,1)="M","◆","■"),""),"")</f>
        <v/>
      </c>
      <c r="F14" s="5" t="str">
        <f aca="false">IF(ISNUMBER(VLOOKUP($A14,WBS_계획!$A:$O,7,FALSE())),IF(AND(F$5&gt;=VLOOKUP($A14,WBS_계획!$A:$O,7,FALSE()),F$5&lt;=VLOOKUP($A14,WBS_계획!$A:$O,8,FALSE())),IF(LEFT($A14,1)="M","◆","■"),""),"")</f>
        <v>■</v>
      </c>
      <c r="G14" s="5" t="str">
        <f aca="false">IF(ISNUMBER(VLOOKUP($A14,WBS_계획!$A:$O,7,FALSE())),IF(AND(G$5&gt;=VLOOKUP($A14,WBS_계획!$A:$O,7,FALSE()),G$5&lt;=VLOOKUP($A14,WBS_계획!$A:$O,8,FALSE())),IF(LEFT($A14,1)="M","◆","■"),""),"")</f>
        <v/>
      </c>
      <c r="H14" s="5" t="str">
        <f aca="false">IF(ISNUMBER(VLOOKUP($A14,WBS_계획!$A:$O,7,FALSE())),IF(AND(H$5&gt;=VLOOKUP($A14,WBS_계획!$A:$O,7,FALSE()),H$5&lt;=VLOOKUP($A14,WBS_계획!$A:$O,8,FALSE())),IF(LEFT($A14,1)="M","◆","■"),""),"")</f>
        <v/>
      </c>
      <c r="I14" s="5" t="str">
        <f aca="false">IF(ISNUMBER(VLOOKUP($A14,WBS_계획!$A:$O,7,FALSE())),IF(AND(I$5&gt;=VLOOKUP($A14,WBS_계획!$A:$O,7,FALSE()),I$5&lt;=VLOOKUP($A14,WBS_계획!$A:$O,8,FALSE())),IF(LEFT($A14,1)="M","◆","■"),""),"")</f>
        <v/>
      </c>
      <c r="J14" s="5" t="str">
        <f aca="false">IF(ISNUMBER(VLOOKUP($A14,WBS_계획!$A:$O,7,FALSE())),IF(AND(J$5&gt;=VLOOKUP($A14,WBS_계획!$A:$O,7,FALSE()),J$5&lt;=VLOOKUP($A14,WBS_계획!$A:$O,8,FALSE())),IF(LEFT($A14,1)="M","◆","■"),""),"")</f>
        <v/>
      </c>
      <c r="K14" s="5" t="str">
        <f aca="false">IF(ISNUMBER(VLOOKUP($A14,WBS_계획!$A:$O,7,FALSE())),IF(AND(K$5&gt;=VLOOKUP($A14,WBS_계획!$A:$O,7,FALSE()),K$5&lt;=VLOOKUP($A14,WBS_계획!$A:$O,8,FALSE())),IF(LEFT($A14,1)="M","◆","■"),""),"")</f>
        <v/>
      </c>
      <c r="L14" s="5" t="str">
        <f aca="false">IF(ISNUMBER(VLOOKUP($A14,WBS_계획!$A:$O,7,FALSE())),IF(AND(L$5&gt;=VLOOKUP($A14,WBS_계획!$A:$O,7,FALSE()),L$5&lt;=VLOOKUP($A14,WBS_계획!$A:$O,8,FALSE())),IF(LEFT($A14,1)="M","◆","■"),""),"")</f>
        <v/>
      </c>
      <c r="M14" s="5" t="str">
        <f aca="false">IF(ISNUMBER(VLOOKUP($A14,WBS_계획!$A:$O,7,FALSE())),IF(AND(M$5&gt;=VLOOKUP($A14,WBS_계획!$A:$O,7,FALSE()),M$5&lt;=VLOOKUP($A14,WBS_계획!$A:$O,8,FALSE())),IF(LEFT($A14,1)="M","◆","■"),""),"")</f>
        <v/>
      </c>
    </row>
    <row r="15" customFormat="false" ht="27.75" hidden="false" customHeight="true" outlineLevel="0" collapsed="false">
      <c r="A15" s="5" t="s">
        <v>78</v>
      </c>
      <c r="B15" s="7" t="str">
        <f aca="false">VLOOKUP($A15,WBS_계획!$A:$O,4,FALSE())</f>
        <v>CarConfig, CarAppearance (색상·트림·휠)</v>
      </c>
      <c r="C15" s="5" t="str">
        <f aca="false">VLOOKUP($A15,WBS_계획!$A:$O,6,FALSE())</f>
        <v>강유나</v>
      </c>
      <c r="D15" s="8" t="str">
        <f aca="false">VLOOKUP($A15,WBS_계획!$A:$O,12,FALSE())</f>
        <v>미착수</v>
      </c>
      <c r="E15" s="5" t="str">
        <f aca="false">IF(ISNUMBER(VLOOKUP($A15,WBS_계획!$A:$O,7,FALSE())),IF(AND(E$5&gt;=VLOOKUP($A15,WBS_계획!$A:$O,7,FALSE()),E$5&lt;=VLOOKUP($A15,WBS_계획!$A:$O,8,FALSE())),IF(LEFT($A15,1)="M","◆","■"),""),"")</f>
        <v/>
      </c>
      <c r="F15" s="5" t="str">
        <f aca="false">IF(ISNUMBER(VLOOKUP($A15,WBS_계획!$A:$O,7,FALSE())),IF(AND(F$5&gt;=VLOOKUP($A15,WBS_계획!$A:$O,7,FALSE()),F$5&lt;=VLOOKUP($A15,WBS_계획!$A:$O,8,FALSE())),IF(LEFT($A15,1)="M","◆","■"),""),"")</f>
        <v>■</v>
      </c>
      <c r="G15" s="5" t="str">
        <f aca="false">IF(ISNUMBER(VLOOKUP($A15,WBS_계획!$A:$O,7,FALSE())),IF(AND(G$5&gt;=VLOOKUP($A15,WBS_계획!$A:$O,7,FALSE()),G$5&lt;=VLOOKUP($A15,WBS_계획!$A:$O,8,FALSE())),IF(LEFT($A15,1)="M","◆","■"),""),"")</f>
        <v/>
      </c>
      <c r="H15" s="5" t="str">
        <f aca="false">IF(ISNUMBER(VLOOKUP($A15,WBS_계획!$A:$O,7,FALSE())),IF(AND(H$5&gt;=VLOOKUP($A15,WBS_계획!$A:$O,7,FALSE()),H$5&lt;=VLOOKUP($A15,WBS_계획!$A:$O,8,FALSE())),IF(LEFT($A15,1)="M","◆","■"),""),"")</f>
        <v/>
      </c>
      <c r="I15" s="5" t="str">
        <f aca="false">IF(ISNUMBER(VLOOKUP($A15,WBS_계획!$A:$O,7,FALSE())),IF(AND(I$5&gt;=VLOOKUP($A15,WBS_계획!$A:$O,7,FALSE()),I$5&lt;=VLOOKUP($A15,WBS_계획!$A:$O,8,FALSE())),IF(LEFT($A15,1)="M","◆","■"),""),"")</f>
        <v/>
      </c>
      <c r="J15" s="5" t="str">
        <f aca="false">IF(ISNUMBER(VLOOKUP($A15,WBS_계획!$A:$O,7,FALSE())),IF(AND(J$5&gt;=VLOOKUP($A15,WBS_계획!$A:$O,7,FALSE()),J$5&lt;=VLOOKUP($A15,WBS_계획!$A:$O,8,FALSE())),IF(LEFT($A15,1)="M","◆","■"),""),"")</f>
        <v/>
      </c>
      <c r="K15" s="5" t="str">
        <f aca="false">IF(ISNUMBER(VLOOKUP($A15,WBS_계획!$A:$O,7,FALSE())),IF(AND(K$5&gt;=VLOOKUP($A15,WBS_계획!$A:$O,7,FALSE()),K$5&lt;=VLOOKUP($A15,WBS_계획!$A:$O,8,FALSE())),IF(LEFT($A15,1)="M","◆","■"),""),"")</f>
        <v/>
      </c>
      <c r="L15" s="5" t="str">
        <f aca="false">IF(ISNUMBER(VLOOKUP($A15,WBS_계획!$A:$O,7,FALSE())),IF(AND(L$5&gt;=VLOOKUP($A15,WBS_계획!$A:$O,7,FALSE()),L$5&lt;=VLOOKUP($A15,WBS_계획!$A:$O,8,FALSE())),IF(LEFT($A15,1)="M","◆","■"),""),"")</f>
        <v/>
      </c>
      <c r="M15" s="5" t="str">
        <f aca="false">IF(ISNUMBER(VLOOKUP($A15,WBS_계획!$A:$O,7,FALSE())),IF(AND(M$5&gt;=VLOOKUP($A15,WBS_계획!$A:$O,7,FALSE()),M$5&lt;=VLOOKUP($A15,WBS_계획!$A:$O,8,FALSE())),IF(LEFT($A15,1)="M","◆","■"),""),"")</f>
        <v/>
      </c>
    </row>
    <row r="16" customFormat="false" ht="27.75" hidden="false" customHeight="true" outlineLevel="0" collapsed="false">
      <c r="A16" s="5" t="s">
        <v>84</v>
      </c>
      <c r="B16" s="7" t="str">
        <f aca="false">VLOOKUP($A16,WBS_계획!$A:$O,4,FALSE())</f>
        <v>SplitScreenManager, CameraSwitcher</v>
      </c>
      <c r="C16" s="5" t="str">
        <f aca="false">VLOOKUP($A16,WBS_계획!$A:$O,6,FALSE())</f>
        <v>공동</v>
      </c>
      <c r="D16" s="8" t="str">
        <f aca="false">VLOOKUP($A16,WBS_계획!$A:$O,12,FALSE())</f>
        <v>미착수</v>
      </c>
      <c r="E16" s="5" t="str">
        <f aca="false">IF(ISNUMBER(VLOOKUP($A16,WBS_계획!$A:$O,7,FALSE())),IF(AND(E$5&gt;=VLOOKUP($A16,WBS_계획!$A:$O,7,FALSE()),E$5&lt;=VLOOKUP($A16,WBS_계획!$A:$O,8,FALSE())),IF(LEFT($A16,1)="M","◆","■"),""),"")</f>
        <v/>
      </c>
      <c r="F16" s="5" t="str">
        <f aca="false">IF(ISNUMBER(VLOOKUP($A16,WBS_계획!$A:$O,7,FALSE())),IF(AND(F$5&gt;=VLOOKUP($A16,WBS_계획!$A:$O,7,FALSE()),F$5&lt;=VLOOKUP($A16,WBS_계획!$A:$O,8,FALSE())),IF(LEFT($A16,1)="M","◆","■"),""),"")</f>
        <v/>
      </c>
      <c r="G16" s="5" t="str">
        <f aca="false">IF(ISNUMBER(VLOOKUP($A16,WBS_계획!$A:$O,7,FALSE())),IF(AND(G$5&gt;=VLOOKUP($A16,WBS_계획!$A:$O,7,FALSE()),G$5&lt;=VLOOKUP($A16,WBS_계획!$A:$O,8,FALSE())),IF(LEFT($A16,1)="M","◆","■"),""),"")</f>
        <v>■</v>
      </c>
      <c r="H16" s="5" t="str">
        <f aca="false">IF(ISNUMBER(VLOOKUP($A16,WBS_계획!$A:$O,7,FALSE())),IF(AND(H$5&gt;=VLOOKUP($A16,WBS_계획!$A:$O,7,FALSE()),H$5&lt;=VLOOKUP($A16,WBS_계획!$A:$O,8,FALSE())),IF(LEFT($A16,1)="M","◆","■"),""),"")</f>
        <v/>
      </c>
      <c r="I16" s="5" t="str">
        <f aca="false">IF(ISNUMBER(VLOOKUP($A16,WBS_계획!$A:$O,7,FALSE())),IF(AND(I$5&gt;=VLOOKUP($A16,WBS_계획!$A:$O,7,FALSE()),I$5&lt;=VLOOKUP($A16,WBS_계획!$A:$O,8,FALSE())),IF(LEFT($A16,1)="M","◆","■"),""),"")</f>
        <v/>
      </c>
      <c r="J16" s="5" t="str">
        <f aca="false">IF(ISNUMBER(VLOOKUP($A16,WBS_계획!$A:$O,7,FALSE())),IF(AND(J$5&gt;=VLOOKUP($A16,WBS_계획!$A:$O,7,FALSE()),J$5&lt;=VLOOKUP($A16,WBS_계획!$A:$O,8,FALSE())),IF(LEFT($A16,1)="M","◆","■"),""),"")</f>
        <v/>
      </c>
      <c r="K16" s="5" t="str">
        <f aca="false">IF(ISNUMBER(VLOOKUP($A16,WBS_계획!$A:$O,7,FALSE())),IF(AND(K$5&gt;=VLOOKUP($A16,WBS_계획!$A:$O,7,FALSE()),K$5&lt;=VLOOKUP($A16,WBS_계획!$A:$O,8,FALSE())),IF(LEFT($A16,1)="M","◆","■"),""),"")</f>
        <v/>
      </c>
      <c r="L16" s="5" t="str">
        <f aca="false">IF(ISNUMBER(VLOOKUP($A16,WBS_계획!$A:$O,7,FALSE())),IF(AND(L$5&gt;=VLOOKUP($A16,WBS_계획!$A:$O,7,FALSE()),L$5&lt;=VLOOKUP($A16,WBS_계획!$A:$O,8,FALSE())),IF(LEFT($A16,1)="M","◆","■"),""),"")</f>
        <v/>
      </c>
      <c r="M16" s="5" t="str">
        <f aca="false">IF(ISNUMBER(VLOOKUP($A16,WBS_계획!$A:$O,7,FALSE())),IF(AND(M$5&gt;=VLOOKUP($A16,WBS_계획!$A:$O,7,FALSE()),M$5&lt;=VLOOKUP($A16,WBS_계획!$A:$O,8,FALSE())),IF(LEFT($A16,1)="M","◆","■"),""),"")</f>
        <v/>
      </c>
    </row>
    <row r="17" customFormat="false" ht="27.75" hidden="false" customHeight="true" outlineLevel="0" collapsed="false">
      <c r="A17" s="5" t="s">
        <v>91</v>
      </c>
      <c r="B17" s="7" t="str">
        <f aca="false">VLOOKUP($A17,WBS_계획!$A:$O,4,FALSE())</f>
        <v>공통 기반 dev 병합, 두 PC에서 모드 전환 확인</v>
      </c>
      <c r="C17" s="5" t="str">
        <f aca="false">VLOOKUP($A17,WBS_계획!$A:$O,6,FALSE())</f>
        <v>공동</v>
      </c>
      <c r="D17" s="8" t="str">
        <f aca="false">VLOOKUP($A17,WBS_계획!$A:$O,12,FALSE())</f>
        <v>미착수</v>
      </c>
      <c r="E17" s="5" t="str">
        <f aca="false">IF(ISNUMBER(VLOOKUP($A17,WBS_계획!$A:$O,7,FALSE())),IF(AND(E$5&gt;=VLOOKUP($A17,WBS_계획!$A:$O,7,FALSE()),E$5&lt;=VLOOKUP($A17,WBS_계획!$A:$O,8,FALSE())),IF(LEFT($A17,1)="M","◆","■"),""),"")</f>
        <v/>
      </c>
      <c r="F17" s="5" t="str">
        <f aca="false">IF(ISNUMBER(VLOOKUP($A17,WBS_계획!$A:$O,7,FALSE())),IF(AND(F$5&gt;=VLOOKUP($A17,WBS_계획!$A:$O,7,FALSE()),F$5&lt;=VLOOKUP($A17,WBS_계획!$A:$O,8,FALSE())),IF(LEFT($A17,1)="M","◆","■"),""),"")</f>
        <v>■</v>
      </c>
      <c r="G17" s="5" t="str">
        <f aca="false">IF(ISNUMBER(VLOOKUP($A17,WBS_계획!$A:$O,7,FALSE())),IF(AND(G$5&gt;=VLOOKUP($A17,WBS_계획!$A:$O,7,FALSE()),G$5&lt;=VLOOKUP($A17,WBS_계획!$A:$O,8,FALSE())),IF(LEFT($A17,1)="M","◆","■"),""),"")</f>
        <v/>
      </c>
      <c r="H17" s="5" t="str">
        <f aca="false">IF(ISNUMBER(VLOOKUP($A17,WBS_계획!$A:$O,7,FALSE())),IF(AND(H$5&gt;=VLOOKUP($A17,WBS_계획!$A:$O,7,FALSE()),H$5&lt;=VLOOKUP($A17,WBS_계획!$A:$O,8,FALSE())),IF(LEFT($A17,1)="M","◆","■"),""),"")</f>
        <v/>
      </c>
      <c r="I17" s="5" t="str">
        <f aca="false">IF(ISNUMBER(VLOOKUP($A17,WBS_계획!$A:$O,7,FALSE())),IF(AND(I$5&gt;=VLOOKUP($A17,WBS_계획!$A:$O,7,FALSE()),I$5&lt;=VLOOKUP($A17,WBS_계획!$A:$O,8,FALSE())),IF(LEFT($A17,1)="M","◆","■"),""),"")</f>
        <v/>
      </c>
      <c r="J17" s="5" t="str">
        <f aca="false">IF(ISNUMBER(VLOOKUP($A17,WBS_계획!$A:$O,7,FALSE())),IF(AND(J$5&gt;=VLOOKUP($A17,WBS_계획!$A:$O,7,FALSE()),J$5&lt;=VLOOKUP($A17,WBS_계획!$A:$O,8,FALSE())),IF(LEFT($A17,1)="M","◆","■"),""),"")</f>
        <v/>
      </c>
      <c r="K17" s="5" t="str">
        <f aca="false">IF(ISNUMBER(VLOOKUP($A17,WBS_계획!$A:$O,7,FALSE())),IF(AND(K$5&gt;=VLOOKUP($A17,WBS_계획!$A:$O,7,FALSE()),K$5&lt;=VLOOKUP($A17,WBS_계획!$A:$O,8,FALSE())),IF(LEFT($A17,1)="M","◆","■"),""),"")</f>
        <v/>
      </c>
      <c r="L17" s="5" t="str">
        <f aca="false">IF(ISNUMBER(VLOOKUP($A17,WBS_계획!$A:$O,7,FALSE())),IF(AND(L$5&gt;=VLOOKUP($A17,WBS_계획!$A:$O,7,FALSE()),L$5&lt;=VLOOKUP($A17,WBS_계획!$A:$O,8,FALSE())),IF(LEFT($A17,1)="M","◆","■"),""),"")</f>
        <v/>
      </c>
      <c r="M17" s="5" t="str">
        <f aca="false">IF(ISNUMBER(VLOOKUP($A17,WBS_계획!$A:$O,7,FALSE())),IF(AND(M$5&gt;=VLOOKUP($A17,WBS_계획!$A:$O,7,FALSE()),M$5&lt;=VLOOKUP($A17,WBS_계획!$A:$O,8,FALSE())),IF(LEFT($A17,1)="M","◆","■"),""),"")</f>
        <v/>
      </c>
    </row>
    <row r="18" customFormat="false" ht="27.75" hidden="false" customHeight="true" outlineLevel="0" collapsed="false">
      <c r="A18" s="5" t="s">
        <v>98</v>
      </c>
      <c r="B18" s="7" t="str">
        <f aca="false">VLOOKUP($A18,WBS_계획!$A:$O,4,FALSE())</f>
        <v>DrivingArea: 야간 도로 코스 2벌, 조명, 보행자 트리거</v>
      </c>
      <c r="C18" s="5" t="str">
        <f aca="false">VLOOKUP($A18,WBS_계획!$A:$O,6,FALSE())</f>
        <v>김예은</v>
      </c>
      <c r="D18" s="8" t="str">
        <f aca="false">VLOOKUP($A18,WBS_계획!$A:$O,12,FALSE())</f>
        <v>미착수</v>
      </c>
      <c r="E18" s="5" t="str">
        <f aca="false">IF(ISNUMBER(VLOOKUP($A18,WBS_계획!$A:$O,7,FALSE())),IF(AND(E$5&gt;=VLOOKUP($A18,WBS_계획!$A:$O,7,FALSE()),E$5&lt;=VLOOKUP($A18,WBS_계획!$A:$O,8,FALSE())),IF(LEFT($A18,1)="M","◆","■"),""),"")</f>
        <v/>
      </c>
      <c r="F18" s="5" t="str">
        <f aca="false">IF(ISNUMBER(VLOOKUP($A18,WBS_계획!$A:$O,7,FALSE())),IF(AND(F$5&gt;=VLOOKUP($A18,WBS_계획!$A:$O,7,FALSE()),F$5&lt;=VLOOKUP($A18,WBS_계획!$A:$O,8,FALSE())),IF(LEFT($A18,1)="M","◆","■"),""),"")</f>
        <v/>
      </c>
      <c r="G18" s="5" t="str">
        <f aca="false">IF(ISNUMBER(VLOOKUP($A18,WBS_계획!$A:$O,7,FALSE())),IF(AND(G$5&gt;=VLOOKUP($A18,WBS_계획!$A:$O,7,FALSE()),G$5&lt;=VLOOKUP($A18,WBS_계획!$A:$O,8,FALSE())),IF(LEFT($A18,1)="M","◆","■"),""),"")</f>
        <v>■</v>
      </c>
      <c r="H18" s="5" t="str">
        <f aca="false">IF(ISNUMBER(VLOOKUP($A18,WBS_계획!$A:$O,7,FALSE())),IF(AND(H$5&gt;=VLOOKUP($A18,WBS_계획!$A:$O,7,FALSE()),H$5&lt;=VLOOKUP($A18,WBS_계획!$A:$O,8,FALSE())),IF(LEFT($A18,1)="M","◆","■"),""),"")</f>
        <v/>
      </c>
      <c r="I18" s="5" t="str">
        <f aca="false">IF(ISNUMBER(VLOOKUP($A18,WBS_계획!$A:$O,7,FALSE())),IF(AND(I$5&gt;=VLOOKUP($A18,WBS_계획!$A:$O,7,FALSE()),I$5&lt;=VLOOKUP($A18,WBS_계획!$A:$O,8,FALSE())),IF(LEFT($A18,1)="M","◆","■"),""),"")</f>
        <v/>
      </c>
      <c r="J18" s="5" t="str">
        <f aca="false">IF(ISNUMBER(VLOOKUP($A18,WBS_계획!$A:$O,7,FALSE())),IF(AND(J$5&gt;=VLOOKUP($A18,WBS_계획!$A:$O,7,FALSE()),J$5&lt;=VLOOKUP($A18,WBS_계획!$A:$O,8,FALSE())),IF(LEFT($A18,1)="M","◆","■"),""),"")</f>
        <v/>
      </c>
      <c r="K18" s="5" t="str">
        <f aca="false">IF(ISNUMBER(VLOOKUP($A18,WBS_계획!$A:$O,7,FALSE())),IF(AND(K$5&gt;=VLOOKUP($A18,WBS_계획!$A:$O,7,FALSE()),K$5&lt;=VLOOKUP($A18,WBS_계획!$A:$O,8,FALSE())),IF(LEFT($A18,1)="M","◆","■"),""),"")</f>
        <v/>
      </c>
      <c r="L18" s="5" t="str">
        <f aca="false">IF(ISNUMBER(VLOOKUP($A18,WBS_계획!$A:$O,7,FALSE())),IF(AND(L$5&gt;=VLOOKUP($A18,WBS_계획!$A:$O,7,FALSE()),L$5&lt;=VLOOKUP($A18,WBS_계획!$A:$O,8,FALSE())),IF(LEFT($A18,1)="M","◆","■"),""),"")</f>
        <v/>
      </c>
      <c r="M18" s="5" t="str">
        <f aca="false">IF(ISNUMBER(VLOOKUP($A18,WBS_계획!$A:$O,7,FALSE())),IF(AND(M$5&gt;=VLOOKUP($A18,WBS_계획!$A:$O,7,FALSE()),M$5&lt;=VLOOKUP($A18,WBS_계획!$A:$O,8,FALSE())),IF(LEFT($A18,1)="M","◆","■"),""),"")</f>
        <v/>
      </c>
    </row>
    <row r="19" customFormat="false" ht="27.75" hidden="false" customHeight="true" outlineLevel="0" collapsed="false">
      <c r="A19" s="5" t="s">
        <v>105</v>
      </c>
      <c r="B19" s="7" t="str">
        <f aca="false">VLOOKUP($A19,WBS_계획!$A:$O,4,FALSE())</f>
        <v>NightVisionSensor: 120m 감지, TTC, 경고·감속</v>
      </c>
      <c r="C19" s="5" t="str">
        <f aca="false">VLOOKUP($A19,WBS_계획!$A:$O,6,FALSE())</f>
        <v>김예은</v>
      </c>
      <c r="D19" s="8" t="str">
        <f aca="false">VLOOKUP($A19,WBS_계획!$A:$O,12,FALSE())</f>
        <v>미착수</v>
      </c>
      <c r="E19" s="5" t="str">
        <f aca="false">IF(ISNUMBER(VLOOKUP($A19,WBS_계획!$A:$O,7,FALSE())),IF(AND(E$5&gt;=VLOOKUP($A19,WBS_계획!$A:$O,7,FALSE()),E$5&lt;=VLOOKUP($A19,WBS_계획!$A:$O,8,FALSE())),IF(LEFT($A19,1)="M","◆","■"),""),"")</f>
        <v/>
      </c>
      <c r="F19" s="5" t="str">
        <f aca="false">IF(ISNUMBER(VLOOKUP($A19,WBS_계획!$A:$O,7,FALSE())),IF(AND(F$5&gt;=VLOOKUP($A19,WBS_계획!$A:$O,7,FALSE()),F$5&lt;=VLOOKUP($A19,WBS_계획!$A:$O,8,FALSE())),IF(LEFT($A19,1)="M","◆","■"),""),"")</f>
        <v/>
      </c>
      <c r="G19" s="5" t="str">
        <f aca="false">IF(ISNUMBER(VLOOKUP($A19,WBS_계획!$A:$O,7,FALSE())),IF(AND(G$5&gt;=VLOOKUP($A19,WBS_계획!$A:$O,7,FALSE()),G$5&lt;=VLOOKUP($A19,WBS_계획!$A:$O,8,FALSE())),IF(LEFT($A19,1)="M","◆","■"),""),"")</f>
        <v>■</v>
      </c>
      <c r="H19" s="5" t="str">
        <f aca="false">IF(ISNUMBER(VLOOKUP($A19,WBS_계획!$A:$O,7,FALSE())),IF(AND(H$5&gt;=VLOOKUP($A19,WBS_계획!$A:$O,7,FALSE()),H$5&lt;=VLOOKUP($A19,WBS_계획!$A:$O,8,FALSE())),IF(LEFT($A19,1)="M","◆","■"),""),"")</f>
        <v>■</v>
      </c>
      <c r="I19" s="5" t="str">
        <f aca="false">IF(ISNUMBER(VLOOKUP($A19,WBS_계획!$A:$O,7,FALSE())),IF(AND(I$5&gt;=VLOOKUP($A19,WBS_계획!$A:$O,7,FALSE()),I$5&lt;=VLOOKUP($A19,WBS_계획!$A:$O,8,FALSE())),IF(LEFT($A19,1)="M","◆","■"),""),"")</f>
        <v/>
      </c>
      <c r="J19" s="5" t="str">
        <f aca="false">IF(ISNUMBER(VLOOKUP($A19,WBS_계획!$A:$O,7,FALSE())),IF(AND(J$5&gt;=VLOOKUP($A19,WBS_계획!$A:$O,7,FALSE()),J$5&lt;=VLOOKUP($A19,WBS_계획!$A:$O,8,FALSE())),IF(LEFT($A19,1)="M","◆","■"),""),"")</f>
        <v/>
      </c>
      <c r="K19" s="5" t="str">
        <f aca="false">IF(ISNUMBER(VLOOKUP($A19,WBS_계획!$A:$O,7,FALSE())),IF(AND(K$5&gt;=VLOOKUP($A19,WBS_계획!$A:$O,7,FALSE()),K$5&lt;=VLOOKUP($A19,WBS_계획!$A:$O,8,FALSE())),IF(LEFT($A19,1)="M","◆","■"),""),"")</f>
        <v/>
      </c>
      <c r="L19" s="5" t="str">
        <f aca="false">IF(ISNUMBER(VLOOKUP($A19,WBS_계획!$A:$O,7,FALSE())),IF(AND(L$5&gt;=VLOOKUP($A19,WBS_계획!$A:$O,7,FALSE()),L$5&lt;=VLOOKUP($A19,WBS_계획!$A:$O,8,FALSE())),IF(LEFT($A19,1)="M","◆","■"),""),"")</f>
        <v/>
      </c>
      <c r="M19" s="5" t="str">
        <f aca="false">IF(ISNUMBER(VLOOKUP($A19,WBS_계획!$A:$O,7,FALSE())),IF(AND(M$5&gt;=VLOOKUP($A19,WBS_계획!$A:$O,7,FALSE()),M$5&lt;=VLOOKUP($A19,WBS_계획!$A:$O,8,FALSE())),IF(LEFT($A19,1)="M","◆","■"),""),"")</f>
        <v/>
      </c>
    </row>
    <row r="20" customFormat="false" ht="27.75" hidden="false" customHeight="true" outlineLevel="0" collapsed="false">
      <c r="A20" s="5" t="s">
        <v>111</v>
      </c>
      <c r="B20" s="7" t="str">
        <f aca="false">VLOOKUP($A20,WBS_계획!$A:$O,4,FALSE())</f>
        <v>NightVisionDisplay: 적외선 화면, 노란 박스</v>
      </c>
      <c r="C20" s="5" t="str">
        <f aca="false">VLOOKUP($A20,WBS_계획!$A:$O,6,FALSE())</f>
        <v>김예은</v>
      </c>
      <c r="D20" s="8" t="str">
        <f aca="false">VLOOKUP($A20,WBS_계획!$A:$O,12,FALSE())</f>
        <v>미착수</v>
      </c>
      <c r="E20" s="5" t="str">
        <f aca="false">IF(ISNUMBER(VLOOKUP($A20,WBS_계획!$A:$O,7,FALSE())),IF(AND(E$5&gt;=VLOOKUP($A20,WBS_계획!$A:$O,7,FALSE()),E$5&lt;=VLOOKUP($A20,WBS_계획!$A:$O,8,FALSE())),IF(LEFT($A20,1)="M","◆","■"),""),"")</f>
        <v/>
      </c>
      <c r="F20" s="5" t="str">
        <f aca="false">IF(ISNUMBER(VLOOKUP($A20,WBS_계획!$A:$O,7,FALSE())),IF(AND(F$5&gt;=VLOOKUP($A20,WBS_계획!$A:$O,7,FALSE()),F$5&lt;=VLOOKUP($A20,WBS_계획!$A:$O,8,FALSE())),IF(LEFT($A20,1)="M","◆","■"),""),"")</f>
        <v/>
      </c>
      <c r="G20" s="5" t="str">
        <f aca="false">IF(ISNUMBER(VLOOKUP($A20,WBS_계획!$A:$O,7,FALSE())),IF(AND(G$5&gt;=VLOOKUP($A20,WBS_계획!$A:$O,7,FALSE()),G$5&lt;=VLOOKUP($A20,WBS_계획!$A:$O,8,FALSE())),IF(LEFT($A20,1)="M","◆","■"),""),"")</f>
        <v/>
      </c>
      <c r="H20" s="5" t="str">
        <f aca="false">IF(ISNUMBER(VLOOKUP($A20,WBS_계획!$A:$O,7,FALSE())),IF(AND(H$5&gt;=VLOOKUP($A20,WBS_계획!$A:$O,7,FALSE()),H$5&lt;=VLOOKUP($A20,WBS_계획!$A:$O,8,FALSE())),IF(LEFT($A20,1)="M","◆","■"),""),"")</f>
        <v>■</v>
      </c>
      <c r="I20" s="5" t="str">
        <f aca="false">IF(ISNUMBER(VLOOKUP($A20,WBS_계획!$A:$O,7,FALSE())),IF(AND(I$5&gt;=VLOOKUP($A20,WBS_계획!$A:$O,7,FALSE()),I$5&lt;=VLOOKUP($A20,WBS_계획!$A:$O,8,FALSE())),IF(LEFT($A20,1)="M","◆","■"),""),"")</f>
        <v/>
      </c>
      <c r="J20" s="5" t="str">
        <f aca="false">IF(ISNUMBER(VLOOKUP($A20,WBS_계획!$A:$O,7,FALSE())),IF(AND(J$5&gt;=VLOOKUP($A20,WBS_계획!$A:$O,7,FALSE()),J$5&lt;=VLOOKUP($A20,WBS_계획!$A:$O,8,FALSE())),IF(LEFT($A20,1)="M","◆","■"),""),"")</f>
        <v/>
      </c>
      <c r="K20" s="5" t="str">
        <f aca="false">IF(ISNUMBER(VLOOKUP($A20,WBS_계획!$A:$O,7,FALSE())),IF(AND(K$5&gt;=VLOOKUP($A20,WBS_계획!$A:$O,7,FALSE()),K$5&lt;=VLOOKUP($A20,WBS_계획!$A:$O,8,FALSE())),IF(LEFT($A20,1)="M","◆","■"),""),"")</f>
        <v/>
      </c>
      <c r="L20" s="5" t="str">
        <f aca="false">IF(ISNUMBER(VLOOKUP($A20,WBS_계획!$A:$O,7,FALSE())),IF(AND(L$5&gt;=VLOOKUP($A20,WBS_계획!$A:$O,7,FALSE()),L$5&lt;=VLOOKUP($A20,WBS_계획!$A:$O,8,FALSE())),IF(LEFT($A20,1)="M","◆","■"),""),"")</f>
        <v/>
      </c>
      <c r="M20" s="5" t="str">
        <f aca="false">IF(ISNUMBER(VLOOKUP($A20,WBS_계획!$A:$O,7,FALSE())),IF(AND(M$5&gt;=VLOOKUP($A20,WBS_계획!$A:$O,7,FALSE()),M$5&lt;=VLOOKUP($A20,WBS_계획!$A:$O,8,FALSE())),IF(LEFT($A20,1)="M","◆","■"),""),"")</f>
        <v/>
      </c>
    </row>
    <row r="21" customFormat="false" ht="27.75" hidden="false" customHeight="true" outlineLevel="0" collapsed="false">
      <c r="A21" s="5" t="s">
        <v>116</v>
      </c>
      <c r="B21" s="7" t="str">
        <f aca="false">VLOOKUP($A21,WBS_계획!$A:$O,4,FALSE())</f>
        <v>미적용 차량 가상 운전자 (반응 1초 후 급제동)</v>
      </c>
      <c r="C21" s="5" t="str">
        <f aca="false">VLOOKUP($A21,WBS_계획!$A:$O,6,FALSE())</f>
        <v>김예은</v>
      </c>
      <c r="D21" s="8" t="str">
        <f aca="false">VLOOKUP($A21,WBS_계획!$A:$O,12,FALSE())</f>
        <v>미착수</v>
      </c>
      <c r="E21" s="5" t="str">
        <f aca="false">IF(ISNUMBER(VLOOKUP($A21,WBS_계획!$A:$O,7,FALSE())),IF(AND(E$5&gt;=VLOOKUP($A21,WBS_계획!$A:$O,7,FALSE()),E$5&lt;=VLOOKUP($A21,WBS_계획!$A:$O,8,FALSE())),IF(LEFT($A21,1)="M","◆","■"),""),"")</f>
        <v/>
      </c>
      <c r="F21" s="5" t="str">
        <f aca="false">IF(ISNUMBER(VLOOKUP($A21,WBS_계획!$A:$O,7,FALSE())),IF(AND(F$5&gt;=VLOOKUP($A21,WBS_계획!$A:$O,7,FALSE()),F$5&lt;=VLOOKUP($A21,WBS_계획!$A:$O,8,FALSE())),IF(LEFT($A21,1)="M","◆","■"),""),"")</f>
        <v/>
      </c>
      <c r="G21" s="5" t="str">
        <f aca="false">IF(ISNUMBER(VLOOKUP($A21,WBS_계획!$A:$O,7,FALSE())),IF(AND(G$5&gt;=VLOOKUP($A21,WBS_계획!$A:$O,7,FALSE()),G$5&lt;=VLOOKUP($A21,WBS_계획!$A:$O,8,FALSE())),IF(LEFT($A21,1)="M","◆","■"),""),"")</f>
        <v/>
      </c>
      <c r="H21" s="5" t="str">
        <f aca="false">IF(ISNUMBER(VLOOKUP($A21,WBS_계획!$A:$O,7,FALSE())),IF(AND(H$5&gt;=VLOOKUP($A21,WBS_계획!$A:$O,7,FALSE()),H$5&lt;=VLOOKUP($A21,WBS_계획!$A:$O,8,FALSE())),IF(LEFT($A21,1)="M","◆","■"),""),"")</f>
        <v>■</v>
      </c>
      <c r="I21" s="5" t="str">
        <f aca="false">IF(ISNUMBER(VLOOKUP($A21,WBS_계획!$A:$O,7,FALSE())),IF(AND(I$5&gt;=VLOOKUP($A21,WBS_계획!$A:$O,7,FALSE()),I$5&lt;=VLOOKUP($A21,WBS_계획!$A:$O,8,FALSE())),IF(LEFT($A21,1)="M","◆","■"),""),"")</f>
        <v/>
      </c>
      <c r="J21" s="5" t="str">
        <f aca="false">IF(ISNUMBER(VLOOKUP($A21,WBS_계획!$A:$O,7,FALSE())),IF(AND(J$5&gt;=VLOOKUP($A21,WBS_계획!$A:$O,7,FALSE()),J$5&lt;=VLOOKUP($A21,WBS_계획!$A:$O,8,FALSE())),IF(LEFT($A21,1)="M","◆","■"),""),"")</f>
        <v/>
      </c>
      <c r="K21" s="5" t="str">
        <f aca="false">IF(ISNUMBER(VLOOKUP($A21,WBS_계획!$A:$O,7,FALSE())),IF(AND(K$5&gt;=VLOOKUP($A21,WBS_계획!$A:$O,7,FALSE()),K$5&lt;=VLOOKUP($A21,WBS_계획!$A:$O,8,FALSE())),IF(LEFT($A21,1)="M","◆","■"),""),"")</f>
        <v/>
      </c>
      <c r="L21" s="5" t="str">
        <f aca="false">IF(ISNUMBER(VLOOKUP($A21,WBS_계획!$A:$O,7,FALSE())),IF(AND(L$5&gt;=VLOOKUP($A21,WBS_계획!$A:$O,7,FALSE()),L$5&lt;=VLOOKUP($A21,WBS_계획!$A:$O,8,FALSE())),IF(LEFT($A21,1)="M","◆","■"),""),"")</f>
        <v/>
      </c>
      <c r="M21" s="5" t="str">
        <f aca="false">IF(ISNUMBER(VLOOKUP($A21,WBS_계획!$A:$O,7,FALSE())),IF(AND(M$5&gt;=VLOOKUP($A21,WBS_계획!$A:$O,7,FALSE()),M$5&lt;=VLOOKUP($A21,WBS_계획!$A:$O,8,FALSE())),IF(LEFT($A21,1)="M","◆","■"),""),"")</f>
        <v/>
      </c>
    </row>
    <row r="22" customFormat="false" ht="27.75" hidden="false" customHeight="true" outlineLevel="0" collapsed="false">
      <c r="A22" s="5" t="s">
        <v>121</v>
      </c>
      <c r="B22" s="7" t="str">
        <f aca="false">VLOOKUP($A22,WBS_계획!$A:$O,4,FALSE())</f>
        <v>BirdViewOverlay: 헤드램프·적외선 원뿔</v>
      </c>
      <c r="C22" s="5" t="str">
        <f aca="false">VLOOKUP($A22,WBS_계획!$A:$O,6,FALSE())</f>
        <v>김예은</v>
      </c>
      <c r="D22" s="8" t="str">
        <f aca="false">VLOOKUP($A22,WBS_계획!$A:$O,12,FALSE())</f>
        <v>미착수</v>
      </c>
      <c r="E22" s="5" t="str">
        <f aca="false">IF(ISNUMBER(VLOOKUP($A22,WBS_계획!$A:$O,7,FALSE())),IF(AND(E$5&gt;=VLOOKUP($A22,WBS_계획!$A:$O,7,FALSE()),E$5&lt;=VLOOKUP($A22,WBS_계획!$A:$O,8,FALSE())),IF(LEFT($A22,1)="M","◆","■"),""),"")</f>
        <v/>
      </c>
      <c r="F22" s="5" t="str">
        <f aca="false">IF(ISNUMBER(VLOOKUP($A22,WBS_계획!$A:$O,7,FALSE())),IF(AND(F$5&gt;=VLOOKUP($A22,WBS_계획!$A:$O,7,FALSE()),F$5&lt;=VLOOKUP($A22,WBS_계획!$A:$O,8,FALSE())),IF(LEFT($A22,1)="M","◆","■"),""),"")</f>
        <v/>
      </c>
      <c r="G22" s="5" t="str">
        <f aca="false">IF(ISNUMBER(VLOOKUP($A22,WBS_계획!$A:$O,7,FALSE())),IF(AND(G$5&gt;=VLOOKUP($A22,WBS_계획!$A:$O,7,FALSE()),G$5&lt;=VLOOKUP($A22,WBS_계획!$A:$O,8,FALSE())),IF(LEFT($A22,1)="M","◆","■"),""),"")</f>
        <v/>
      </c>
      <c r="H22" s="5" t="str">
        <f aca="false">IF(ISNUMBER(VLOOKUP($A22,WBS_계획!$A:$O,7,FALSE())),IF(AND(H$5&gt;=VLOOKUP($A22,WBS_계획!$A:$O,7,FALSE()),H$5&lt;=VLOOKUP($A22,WBS_계획!$A:$O,8,FALSE())),IF(LEFT($A22,1)="M","◆","■"),""),"")</f>
        <v>■</v>
      </c>
      <c r="I22" s="5" t="str">
        <f aca="false">IF(ISNUMBER(VLOOKUP($A22,WBS_계획!$A:$O,7,FALSE())),IF(AND(I$5&gt;=VLOOKUP($A22,WBS_계획!$A:$O,7,FALSE()),I$5&lt;=VLOOKUP($A22,WBS_계획!$A:$O,8,FALSE())),IF(LEFT($A22,1)="M","◆","■"),""),"")</f>
        <v/>
      </c>
      <c r="J22" s="5" t="str">
        <f aca="false">IF(ISNUMBER(VLOOKUP($A22,WBS_계획!$A:$O,7,FALSE())),IF(AND(J$5&gt;=VLOOKUP($A22,WBS_계획!$A:$O,7,FALSE()),J$5&lt;=VLOOKUP($A22,WBS_계획!$A:$O,8,FALSE())),IF(LEFT($A22,1)="M","◆","■"),""),"")</f>
        <v/>
      </c>
      <c r="K22" s="5" t="str">
        <f aca="false">IF(ISNUMBER(VLOOKUP($A22,WBS_계획!$A:$O,7,FALSE())),IF(AND(K$5&gt;=VLOOKUP($A22,WBS_계획!$A:$O,7,FALSE()),K$5&lt;=VLOOKUP($A22,WBS_계획!$A:$O,8,FALSE())),IF(LEFT($A22,1)="M","◆","■"),""),"")</f>
        <v/>
      </c>
      <c r="L22" s="5" t="str">
        <f aca="false">IF(ISNUMBER(VLOOKUP($A22,WBS_계획!$A:$O,7,FALSE())),IF(AND(L$5&gt;=VLOOKUP($A22,WBS_계획!$A:$O,7,FALSE()),L$5&lt;=VLOOKUP($A22,WBS_계획!$A:$O,8,FALSE())),IF(LEFT($A22,1)="M","◆","■"),""),"")</f>
        <v/>
      </c>
      <c r="M22" s="5" t="str">
        <f aca="false">IF(ISNUMBER(VLOOKUP($A22,WBS_계획!$A:$O,7,FALSE())),IF(AND(M$5&gt;=VLOOKUP($A22,WBS_계획!$A:$O,7,FALSE()),M$5&lt;=VLOOKUP($A22,WBS_계획!$A:$O,8,FALSE())),IF(LEFT($A22,1)="M","◆","■"),""),"")</f>
        <v/>
      </c>
    </row>
    <row r="23" customFormat="false" ht="27.75" hidden="false" customHeight="true" outlineLevel="0" collapsed="false">
      <c r="A23" s="5" t="s">
        <v>127</v>
      </c>
      <c r="B23" s="7" t="str">
        <f aca="false">VLOOKUP($A23,WBS_계획!$A:$O,4,FALSE())</f>
        <v>골목 맵, 회전 궤적 측정 후 골목 폭 확정</v>
      </c>
      <c r="C23" s="5" t="str">
        <f aca="false">VLOOKUP($A23,WBS_계획!$A:$O,6,FALSE())</f>
        <v>김예은</v>
      </c>
      <c r="D23" s="8" t="str">
        <f aca="false">VLOOKUP($A23,WBS_계획!$A:$O,12,FALSE())</f>
        <v>미착수</v>
      </c>
      <c r="E23" s="5" t="str">
        <f aca="false">IF(ISNUMBER(VLOOKUP($A23,WBS_계획!$A:$O,7,FALSE())),IF(AND(E$5&gt;=VLOOKUP($A23,WBS_계획!$A:$O,7,FALSE()),E$5&lt;=VLOOKUP($A23,WBS_계획!$A:$O,8,FALSE())),IF(LEFT($A23,1)="M","◆","■"),""),"")</f>
        <v/>
      </c>
      <c r="F23" s="5" t="str">
        <f aca="false">IF(ISNUMBER(VLOOKUP($A23,WBS_계획!$A:$O,7,FALSE())),IF(AND(F$5&gt;=VLOOKUP($A23,WBS_계획!$A:$O,7,FALSE()),F$5&lt;=VLOOKUP($A23,WBS_계획!$A:$O,8,FALSE())),IF(LEFT($A23,1)="M","◆","■"),""),"")</f>
        <v/>
      </c>
      <c r="G23" s="5" t="str">
        <f aca="false">IF(ISNUMBER(VLOOKUP($A23,WBS_계획!$A:$O,7,FALSE())),IF(AND(G$5&gt;=VLOOKUP($A23,WBS_계획!$A:$O,7,FALSE()),G$5&lt;=VLOOKUP($A23,WBS_계획!$A:$O,8,FALSE())),IF(LEFT($A23,1)="M","◆","■"),""),"")</f>
        <v/>
      </c>
      <c r="H23" s="5" t="str">
        <f aca="false">IF(ISNUMBER(VLOOKUP($A23,WBS_계획!$A:$O,7,FALSE())),IF(AND(H$5&gt;=VLOOKUP($A23,WBS_계획!$A:$O,7,FALSE()),H$5&lt;=VLOOKUP($A23,WBS_계획!$A:$O,8,FALSE())),IF(LEFT($A23,1)="M","◆","■"),""),"")</f>
        <v/>
      </c>
      <c r="I23" s="5" t="str">
        <f aca="false">IF(ISNUMBER(VLOOKUP($A23,WBS_계획!$A:$O,7,FALSE())),IF(AND(I$5&gt;=VLOOKUP($A23,WBS_계획!$A:$O,7,FALSE()),I$5&lt;=VLOOKUP($A23,WBS_계획!$A:$O,8,FALSE())),IF(LEFT($A23,1)="M","◆","■"),""),"")</f>
        <v>■</v>
      </c>
      <c r="J23" s="5" t="str">
        <f aca="false">IF(ISNUMBER(VLOOKUP($A23,WBS_계획!$A:$O,7,FALSE())),IF(AND(J$5&gt;=VLOOKUP($A23,WBS_계획!$A:$O,7,FALSE()),J$5&lt;=VLOOKUP($A23,WBS_계획!$A:$O,8,FALSE())),IF(LEFT($A23,1)="M","◆","■"),""),"")</f>
        <v/>
      </c>
      <c r="K23" s="5" t="str">
        <f aca="false">IF(ISNUMBER(VLOOKUP($A23,WBS_계획!$A:$O,7,FALSE())),IF(AND(K$5&gt;=VLOOKUP($A23,WBS_계획!$A:$O,7,FALSE()),K$5&lt;=VLOOKUP($A23,WBS_계획!$A:$O,8,FALSE())),IF(LEFT($A23,1)="M","◆","■"),""),"")</f>
        <v/>
      </c>
      <c r="L23" s="5" t="str">
        <f aca="false">IF(ISNUMBER(VLOOKUP($A23,WBS_계획!$A:$O,7,FALSE())),IF(AND(L$5&gt;=VLOOKUP($A23,WBS_계획!$A:$O,7,FALSE()),L$5&lt;=VLOOKUP($A23,WBS_계획!$A:$O,8,FALSE())),IF(LEFT($A23,1)="M","◆","■"),""),"")</f>
        <v/>
      </c>
      <c r="M23" s="5" t="str">
        <f aca="false">IF(ISNUMBER(VLOOKUP($A23,WBS_계획!$A:$O,7,FALSE())),IF(AND(M$5&gt;=VLOOKUP($A23,WBS_계획!$A:$O,7,FALSE()),M$5&lt;=VLOOKUP($A23,WBS_계획!$A:$O,8,FALSE())),IF(LEFT($A23,1)="M","◆","■"),""),"")</f>
        <v/>
      </c>
    </row>
    <row r="24" customFormat="false" ht="27.75" hidden="false" customHeight="true" outlineLevel="0" collapsed="false">
      <c r="A24" s="5" t="s">
        <v>132</v>
      </c>
      <c r="B24" s="7" t="str">
        <f aca="false">VLOOKUP($A24,WBS_계획!$A:$O,4,FALSE())</f>
        <v>RearWheelSteering: 역위상 10도, 미적용 3점 턴</v>
      </c>
      <c r="C24" s="5" t="str">
        <f aca="false">VLOOKUP($A24,WBS_계획!$A:$O,6,FALSE())</f>
        <v>김예은</v>
      </c>
      <c r="D24" s="8" t="str">
        <f aca="false">VLOOKUP($A24,WBS_계획!$A:$O,12,FALSE())</f>
        <v>미착수</v>
      </c>
      <c r="E24" s="5" t="str">
        <f aca="false">IF(ISNUMBER(VLOOKUP($A24,WBS_계획!$A:$O,7,FALSE())),IF(AND(E$5&gt;=VLOOKUP($A24,WBS_계획!$A:$O,7,FALSE()),E$5&lt;=VLOOKUP($A24,WBS_계획!$A:$O,8,FALSE())),IF(LEFT($A24,1)="M","◆","■"),""),"")</f>
        <v/>
      </c>
      <c r="F24" s="5" t="str">
        <f aca="false">IF(ISNUMBER(VLOOKUP($A24,WBS_계획!$A:$O,7,FALSE())),IF(AND(F$5&gt;=VLOOKUP($A24,WBS_계획!$A:$O,7,FALSE()),F$5&lt;=VLOOKUP($A24,WBS_계획!$A:$O,8,FALSE())),IF(LEFT($A24,1)="M","◆","■"),""),"")</f>
        <v/>
      </c>
      <c r="G24" s="5" t="str">
        <f aca="false">IF(ISNUMBER(VLOOKUP($A24,WBS_계획!$A:$O,7,FALSE())),IF(AND(G$5&gt;=VLOOKUP($A24,WBS_계획!$A:$O,7,FALSE()),G$5&lt;=VLOOKUP($A24,WBS_계획!$A:$O,8,FALSE())),IF(LEFT($A24,1)="M","◆","■"),""),"")</f>
        <v/>
      </c>
      <c r="H24" s="5" t="str">
        <f aca="false">IF(ISNUMBER(VLOOKUP($A24,WBS_계획!$A:$O,7,FALSE())),IF(AND(H$5&gt;=VLOOKUP($A24,WBS_계획!$A:$O,7,FALSE()),H$5&lt;=VLOOKUP($A24,WBS_계획!$A:$O,8,FALSE())),IF(LEFT($A24,1)="M","◆","■"),""),"")</f>
        <v/>
      </c>
      <c r="I24" s="5" t="str">
        <f aca="false">IF(ISNUMBER(VLOOKUP($A24,WBS_계획!$A:$O,7,FALSE())),IF(AND(I$5&gt;=VLOOKUP($A24,WBS_계획!$A:$O,7,FALSE()),I$5&lt;=VLOOKUP($A24,WBS_계획!$A:$O,8,FALSE())),IF(LEFT($A24,1)="M","◆","■"),""),"")</f>
        <v>■</v>
      </c>
      <c r="J24" s="5" t="str">
        <f aca="false">IF(ISNUMBER(VLOOKUP($A24,WBS_계획!$A:$O,7,FALSE())),IF(AND(J$5&gt;=VLOOKUP($A24,WBS_계획!$A:$O,7,FALSE()),J$5&lt;=VLOOKUP($A24,WBS_계획!$A:$O,8,FALSE())),IF(LEFT($A24,1)="M","◆","■"),""),"")</f>
        <v/>
      </c>
      <c r="K24" s="5" t="str">
        <f aca="false">IF(ISNUMBER(VLOOKUP($A24,WBS_계획!$A:$O,7,FALSE())),IF(AND(K$5&gt;=VLOOKUP($A24,WBS_계획!$A:$O,7,FALSE()),K$5&lt;=VLOOKUP($A24,WBS_계획!$A:$O,8,FALSE())),IF(LEFT($A24,1)="M","◆","■"),""),"")</f>
        <v/>
      </c>
      <c r="L24" s="5" t="str">
        <f aca="false">IF(ISNUMBER(VLOOKUP($A24,WBS_계획!$A:$O,7,FALSE())),IF(AND(L$5&gt;=VLOOKUP($A24,WBS_계획!$A:$O,7,FALSE()),L$5&lt;=VLOOKUP($A24,WBS_계획!$A:$O,8,FALSE())),IF(LEFT($A24,1)="M","◆","■"),""),"")</f>
        <v/>
      </c>
      <c r="M24" s="5" t="str">
        <f aca="false">IF(ISNUMBER(VLOOKUP($A24,WBS_계획!$A:$O,7,FALSE())),IF(AND(M$5&gt;=VLOOKUP($A24,WBS_계획!$A:$O,7,FALSE()),M$5&lt;=VLOOKUP($A24,WBS_계획!$A:$O,8,FALSE())),IF(LEFT($A24,1)="M","◆","■"),""),"")</f>
        <v/>
      </c>
    </row>
    <row r="25" customFormat="false" ht="27.75" hidden="false" customHeight="true" outlineLevel="0" collapsed="false">
      <c r="A25" s="5" t="s">
        <v>138</v>
      </c>
      <c r="B25" s="7" t="str">
        <f aca="false">VLOOKUP($A25,WBS_계획!$A:$O,4,FALSE())</f>
        <v>회전 반경 표시, 궤적 선, ICR 점</v>
      </c>
      <c r="C25" s="5" t="str">
        <f aca="false">VLOOKUP($A25,WBS_계획!$A:$O,6,FALSE())</f>
        <v>김예은</v>
      </c>
      <c r="D25" s="8" t="str">
        <f aca="false">VLOOKUP($A25,WBS_계획!$A:$O,12,FALSE())</f>
        <v>미착수</v>
      </c>
      <c r="E25" s="5" t="str">
        <f aca="false">IF(ISNUMBER(VLOOKUP($A25,WBS_계획!$A:$O,7,FALSE())),IF(AND(E$5&gt;=VLOOKUP($A25,WBS_계획!$A:$O,7,FALSE()),E$5&lt;=VLOOKUP($A25,WBS_계획!$A:$O,8,FALSE())),IF(LEFT($A25,1)="M","◆","■"),""),"")</f>
        <v/>
      </c>
      <c r="F25" s="5" t="str">
        <f aca="false">IF(ISNUMBER(VLOOKUP($A25,WBS_계획!$A:$O,7,FALSE())),IF(AND(F$5&gt;=VLOOKUP($A25,WBS_계획!$A:$O,7,FALSE()),F$5&lt;=VLOOKUP($A25,WBS_계획!$A:$O,8,FALSE())),IF(LEFT($A25,1)="M","◆","■"),""),"")</f>
        <v/>
      </c>
      <c r="G25" s="5" t="str">
        <f aca="false">IF(ISNUMBER(VLOOKUP($A25,WBS_계획!$A:$O,7,FALSE())),IF(AND(G$5&gt;=VLOOKUP($A25,WBS_계획!$A:$O,7,FALSE()),G$5&lt;=VLOOKUP($A25,WBS_계획!$A:$O,8,FALSE())),IF(LEFT($A25,1)="M","◆","■"),""),"")</f>
        <v/>
      </c>
      <c r="H25" s="5" t="str">
        <f aca="false">IF(ISNUMBER(VLOOKUP($A25,WBS_계획!$A:$O,7,FALSE())),IF(AND(H$5&gt;=VLOOKUP($A25,WBS_계획!$A:$O,7,FALSE()),H$5&lt;=VLOOKUP($A25,WBS_계획!$A:$O,8,FALSE())),IF(LEFT($A25,1)="M","◆","■"),""),"")</f>
        <v/>
      </c>
      <c r="I25" s="5" t="str">
        <f aca="false">IF(ISNUMBER(VLOOKUP($A25,WBS_계획!$A:$O,7,FALSE())),IF(AND(I$5&gt;=VLOOKUP($A25,WBS_계획!$A:$O,7,FALSE()),I$5&lt;=VLOOKUP($A25,WBS_계획!$A:$O,8,FALSE())),IF(LEFT($A25,1)="M","◆","■"),""),"")</f>
        <v/>
      </c>
      <c r="J25" s="5" t="str">
        <f aca="false">IF(ISNUMBER(VLOOKUP($A25,WBS_계획!$A:$O,7,FALSE())),IF(AND(J$5&gt;=VLOOKUP($A25,WBS_계획!$A:$O,7,FALSE()),J$5&lt;=VLOOKUP($A25,WBS_계획!$A:$O,8,FALSE())),IF(LEFT($A25,1)="M","◆","■"),""),"")</f>
        <v>■</v>
      </c>
      <c r="K25" s="5" t="str">
        <f aca="false">IF(ISNUMBER(VLOOKUP($A25,WBS_계획!$A:$O,7,FALSE())),IF(AND(K$5&gt;=VLOOKUP($A25,WBS_계획!$A:$O,7,FALSE()),K$5&lt;=VLOOKUP($A25,WBS_계획!$A:$O,8,FALSE())),IF(LEFT($A25,1)="M","◆","■"),""),"")</f>
        <v/>
      </c>
      <c r="L25" s="5" t="str">
        <f aca="false">IF(ISNUMBER(VLOOKUP($A25,WBS_계획!$A:$O,7,FALSE())),IF(AND(L$5&gt;=VLOOKUP($A25,WBS_계획!$A:$O,7,FALSE()),L$5&lt;=VLOOKUP($A25,WBS_계획!$A:$O,8,FALSE())),IF(LEFT($A25,1)="M","◆","■"),""),"")</f>
        <v/>
      </c>
      <c r="M25" s="5" t="str">
        <f aca="false">IF(ISNUMBER(VLOOKUP($A25,WBS_계획!$A:$O,7,FALSE())),IF(AND(M$5&gt;=VLOOKUP($A25,WBS_계획!$A:$O,7,FALSE()),M$5&lt;=VLOOKUP($A25,WBS_계획!$A:$O,8,FALSE())),IF(LEFT($A25,1)="M","◆","■"),""),"")</f>
        <v/>
      </c>
    </row>
    <row r="26" customFormat="false" ht="27.75" hidden="false" customHeight="true" outlineLevel="0" collapsed="false">
      <c r="A26" s="5" t="s">
        <v>142</v>
      </c>
      <c r="B26" s="7" t="str">
        <f aca="false">VLOOKUP($A26,WBS_계획!$A:$O,4,FALSE())</f>
        <v>(Should) 거리·TTC 표시, 동위상 2도</v>
      </c>
      <c r="C26" s="5" t="str">
        <f aca="false">VLOOKUP($A26,WBS_계획!$A:$O,6,FALSE())</f>
        <v>김예은</v>
      </c>
      <c r="D26" s="8" t="str">
        <f aca="false">VLOOKUP($A26,WBS_계획!$A:$O,12,FALSE())</f>
        <v>미착수</v>
      </c>
      <c r="E26" s="5" t="str">
        <f aca="false">IF(ISNUMBER(VLOOKUP($A26,WBS_계획!$A:$O,7,FALSE())),IF(AND(E$5&gt;=VLOOKUP($A26,WBS_계획!$A:$O,7,FALSE()),E$5&lt;=VLOOKUP($A26,WBS_계획!$A:$O,8,FALSE())),IF(LEFT($A26,1)="M","◆","■"),""),"")</f>
        <v/>
      </c>
      <c r="F26" s="5" t="str">
        <f aca="false">IF(ISNUMBER(VLOOKUP($A26,WBS_계획!$A:$O,7,FALSE())),IF(AND(F$5&gt;=VLOOKUP($A26,WBS_계획!$A:$O,7,FALSE()),F$5&lt;=VLOOKUP($A26,WBS_계획!$A:$O,8,FALSE())),IF(LEFT($A26,1)="M","◆","■"),""),"")</f>
        <v/>
      </c>
      <c r="G26" s="5" t="str">
        <f aca="false">IF(ISNUMBER(VLOOKUP($A26,WBS_계획!$A:$O,7,FALSE())),IF(AND(G$5&gt;=VLOOKUP($A26,WBS_계획!$A:$O,7,FALSE()),G$5&lt;=VLOOKUP($A26,WBS_계획!$A:$O,8,FALSE())),IF(LEFT($A26,1)="M","◆","■"),""),"")</f>
        <v/>
      </c>
      <c r="H26" s="5" t="str">
        <f aca="false">IF(ISNUMBER(VLOOKUP($A26,WBS_계획!$A:$O,7,FALSE())),IF(AND(H$5&gt;=VLOOKUP($A26,WBS_계획!$A:$O,7,FALSE()),H$5&lt;=VLOOKUP($A26,WBS_계획!$A:$O,8,FALSE())),IF(LEFT($A26,1)="M","◆","■"),""),"")</f>
        <v/>
      </c>
      <c r="I26" s="5" t="str">
        <f aca="false">IF(ISNUMBER(VLOOKUP($A26,WBS_계획!$A:$O,7,FALSE())),IF(AND(I$5&gt;=VLOOKUP($A26,WBS_계획!$A:$O,7,FALSE()),I$5&lt;=VLOOKUP($A26,WBS_계획!$A:$O,8,FALSE())),IF(LEFT($A26,1)="M","◆","■"),""),"")</f>
        <v/>
      </c>
      <c r="J26" s="5" t="str">
        <f aca="false">IF(ISNUMBER(VLOOKUP($A26,WBS_계획!$A:$O,7,FALSE())),IF(AND(J$5&gt;=VLOOKUP($A26,WBS_계획!$A:$O,7,FALSE()),J$5&lt;=VLOOKUP($A26,WBS_계획!$A:$O,8,FALSE())),IF(LEFT($A26,1)="M","◆","■"),""),"")</f>
        <v/>
      </c>
      <c r="K26" s="5" t="str">
        <f aca="false">IF(ISNUMBER(VLOOKUP($A26,WBS_계획!$A:$O,7,FALSE())),IF(AND(K$5&gt;=VLOOKUP($A26,WBS_계획!$A:$O,7,FALSE()),K$5&lt;=VLOOKUP($A26,WBS_계획!$A:$O,8,FALSE())),IF(LEFT($A26,1)="M","◆","■"),""),"")</f>
        <v>■</v>
      </c>
      <c r="L26" s="5" t="str">
        <f aca="false">IF(ISNUMBER(VLOOKUP($A26,WBS_계획!$A:$O,7,FALSE())),IF(AND(L$5&gt;=VLOOKUP($A26,WBS_계획!$A:$O,7,FALSE()),L$5&lt;=VLOOKUP($A26,WBS_계획!$A:$O,8,FALSE())),IF(LEFT($A26,1)="M","◆","■"),""),"")</f>
        <v>■</v>
      </c>
      <c r="M26" s="5" t="str">
        <f aca="false">IF(ISNUMBER(VLOOKUP($A26,WBS_계획!$A:$O,7,FALSE())),IF(AND(M$5&gt;=VLOOKUP($A26,WBS_계획!$A:$O,7,FALSE()),M$5&lt;=VLOOKUP($A26,WBS_계획!$A:$O,8,FALSE())),IF(LEFT($A26,1)="M","◆","■"),""),"")</f>
        <v/>
      </c>
    </row>
    <row r="27" customFormat="false" ht="27.75" hidden="false" customHeight="true" outlineLevel="0" collapsed="false">
      <c r="A27" s="5" t="s">
        <v>148</v>
      </c>
      <c r="B27" s="7" t="str">
        <f aca="false">VLOOKUP($A27,WBS_계획!$A:$O,4,FALSE())</f>
        <v>(Could) 뒷바퀴 조향각 아이콘</v>
      </c>
      <c r="C27" s="5" t="str">
        <f aca="false">VLOOKUP($A27,WBS_계획!$A:$O,6,FALSE())</f>
        <v>김예은</v>
      </c>
      <c r="D27" s="8" t="str">
        <f aca="false">VLOOKUP($A27,WBS_계획!$A:$O,12,FALSE())</f>
        <v>보류</v>
      </c>
      <c r="E27" s="5" t="str">
        <f aca="false">IF(ISNUMBER(VLOOKUP($A27,WBS_계획!$A:$O,7,FALSE())),IF(AND(E$5&gt;=VLOOKUP($A27,WBS_계획!$A:$O,7,FALSE()),E$5&lt;=VLOOKUP($A27,WBS_계획!$A:$O,8,FALSE())),IF(LEFT($A27,1)="M","◆","■"),""),"")</f>
        <v/>
      </c>
      <c r="F27" s="5" t="str">
        <f aca="false">IF(ISNUMBER(VLOOKUP($A27,WBS_계획!$A:$O,7,FALSE())),IF(AND(F$5&gt;=VLOOKUP($A27,WBS_계획!$A:$O,7,FALSE()),F$5&lt;=VLOOKUP($A27,WBS_계획!$A:$O,8,FALSE())),IF(LEFT($A27,1)="M","◆","■"),""),"")</f>
        <v/>
      </c>
      <c r="G27" s="5" t="str">
        <f aca="false">IF(ISNUMBER(VLOOKUP($A27,WBS_계획!$A:$O,7,FALSE())),IF(AND(G$5&gt;=VLOOKUP($A27,WBS_계획!$A:$O,7,FALSE()),G$5&lt;=VLOOKUP($A27,WBS_계획!$A:$O,8,FALSE())),IF(LEFT($A27,1)="M","◆","■"),""),"")</f>
        <v/>
      </c>
      <c r="H27" s="5" t="str">
        <f aca="false">IF(ISNUMBER(VLOOKUP($A27,WBS_계획!$A:$O,7,FALSE())),IF(AND(H$5&gt;=VLOOKUP($A27,WBS_계획!$A:$O,7,FALSE()),H$5&lt;=VLOOKUP($A27,WBS_계획!$A:$O,8,FALSE())),IF(LEFT($A27,1)="M","◆","■"),""),"")</f>
        <v/>
      </c>
      <c r="I27" s="5" t="str">
        <f aca="false">IF(ISNUMBER(VLOOKUP($A27,WBS_계획!$A:$O,7,FALSE())),IF(AND(I$5&gt;=VLOOKUP($A27,WBS_계획!$A:$O,7,FALSE()),I$5&lt;=VLOOKUP($A27,WBS_계획!$A:$O,8,FALSE())),IF(LEFT($A27,1)="M","◆","■"),""),"")</f>
        <v/>
      </c>
      <c r="J27" s="5" t="str">
        <f aca="false">IF(ISNUMBER(VLOOKUP($A27,WBS_계획!$A:$O,7,FALSE())),IF(AND(J$5&gt;=VLOOKUP($A27,WBS_계획!$A:$O,7,FALSE()),J$5&lt;=VLOOKUP($A27,WBS_계획!$A:$O,8,FALSE())),IF(LEFT($A27,1)="M","◆","■"),""),"")</f>
        <v/>
      </c>
      <c r="K27" s="5" t="str">
        <f aca="false">IF(ISNUMBER(VLOOKUP($A27,WBS_계획!$A:$O,7,FALSE())),IF(AND(K$5&gt;=VLOOKUP($A27,WBS_계획!$A:$O,7,FALSE()),K$5&lt;=VLOOKUP($A27,WBS_계획!$A:$O,8,FALSE())),IF(LEFT($A27,1)="M","◆","■"),""),"")</f>
        <v/>
      </c>
      <c r="L27" s="5" t="str">
        <f aca="false">IF(ISNUMBER(VLOOKUP($A27,WBS_계획!$A:$O,7,FALSE())),IF(AND(L$5&gt;=VLOOKUP($A27,WBS_계획!$A:$O,7,FALSE()),L$5&lt;=VLOOKUP($A27,WBS_계획!$A:$O,8,FALSE())),IF(LEFT($A27,1)="M","◆","■"),""),"")</f>
        <v/>
      </c>
      <c r="M27" s="5" t="str">
        <f aca="false">IF(ISNUMBER(VLOOKUP($A27,WBS_계획!$A:$O,7,FALSE())),IF(AND(M$5&gt;=VLOOKUP($A27,WBS_계획!$A:$O,7,FALSE()),M$5&lt;=VLOOKUP($A27,WBS_계획!$A:$O,8,FALSE())),IF(LEFT($A27,1)="M","◆","■"),""),"")</f>
        <v/>
      </c>
    </row>
    <row r="28" customFormat="false" ht="27.75" hidden="false" customHeight="true" outlineLevel="0" collapsed="false">
      <c r="A28" s="5" t="s">
        <v>154</v>
      </c>
      <c r="B28" s="7" t="str">
        <f aca="false">VLOOKUP($A28,WBS_계획!$A:$O,4,FALSE())</f>
        <v>ParkingArea: 주차장 2벌, 조명, 격자 맵</v>
      </c>
      <c r="C28" s="5" t="str">
        <f aca="false">VLOOKUP($A28,WBS_계획!$A:$O,6,FALSE())</f>
        <v>강유나</v>
      </c>
      <c r="D28" s="8" t="str">
        <f aca="false">VLOOKUP($A28,WBS_계획!$A:$O,12,FALSE())</f>
        <v>미착수</v>
      </c>
      <c r="E28" s="5" t="str">
        <f aca="false">IF(ISNUMBER(VLOOKUP($A28,WBS_계획!$A:$O,7,FALSE())),IF(AND(E$5&gt;=VLOOKUP($A28,WBS_계획!$A:$O,7,FALSE()),E$5&lt;=VLOOKUP($A28,WBS_계획!$A:$O,8,FALSE())),IF(LEFT($A28,1)="M","◆","■"),""),"")</f>
        <v/>
      </c>
      <c r="F28" s="5" t="str">
        <f aca="false">IF(ISNUMBER(VLOOKUP($A28,WBS_계획!$A:$O,7,FALSE())),IF(AND(F$5&gt;=VLOOKUP($A28,WBS_계획!$A:$O,7,FALSE()),F$5&lt;=VLOOKUP($A28,WBS_계획!$A:$O,8,FALSE())),IF(LEFT($A28,1)="M","◆","■"),""),"")</f>
        <v/>
      </c>
      <c r="G28" s="5" t="str">
        <f aca="false">IF(ISNUMBER(VLOOKUP($A28,WBS_계획!$A:$O,7,FALSE())),IF(AND(G$5&gt;=VLOOKUP($A28,WBS_계획!$A:$O,7,FALSE()),G$5&lt;=VLOOKUP($A28,WBS_계획!$A:$O,8,FALSE())),IF(LEFT($A28,1)="M","◆","■"),""),"")</f>
        <v>■</v>
      </c>
      <c r="H28" s="5" t="str">
        <f aca="false">IF(ISNUMBER(VLOOKUP($A28,WBS_계획!$A:$O,7,FALSE())),IF(AND(H$5&gt;=VLOOKUP($A28,WBS_계획!$A:$O,7,FALSE()),H$5&lt;=VLOOKUP($A28,WBS_계획!$A:$O,8,FALSE())),IF(LEFT($A28,1)="M","◆","■"),""),"")</f>
        <v/>
      </c>
      <c r="I28" s="5" t="str">
        <f aca="false">IF(ISNUMBER(VLOOKUP($A28,WBS_계획!$A:$O,7,FALSE())),IF(AND(I$5&gt;=VLOOKUP($A28,WBS_계획!$A:$O,7,FALSE()),I$5&lt;=VLOOKUP($A28,WBS_계획!$A:$O,8,FALSE())),IF(LEFT($A28,1)="M","◆","■"),""),"")</f>
        <v/>
      </c>
      <c r="J28" s="5" t="str">
        <f aca="false">IF(ISNUMBER(VLOOKUP($A28,WBS_계획!$A:$O,7,FALSE())),IF(AND(J$5&gt;=VLOOKUP($A28,WBS_계획!$A:$O,7,FALSE()),J$5&lt;=VLOOKUP($A28,WBS_계획!$A:$O,8,FALSE())),IF(LEFT($A28,1)="M","◆","■"),""),"")</f>
        <v/>
      </c>
      <c r="K28" s="5" t="str">
        <f aca="false">IF(ISNUMBER(VLOOKUP($A28,WBS_계획!$A:$O,7,FALSE())),IF(AND(K$5&gt;=VLOOKUP($A28,WBS_계획!$A:$O,7,FALSE()),K$5&lt;=VLOOKUP($A28,WBS_계획!$A:$O,8,FALSE())),IF(LEFT($A28,1)="M","◆","■"),""),"")</f>
        <v/>
      </c>
      <c r="L28" s="5" t="str">
        <f aca="false">IF(ISNUMBER(VLOOKUP($A28,WBS_계획!$A:$O,7,FALSE())),IF(AND(L$5&gt;=VLOOKUP($A28,WBS_계획!$A:$O,7,FALSE()),L$5&lt;=VLOOKUP($A28,WBS_계획!$A:$O,8,FALSE())),IF(LEFT($A28,1)="M","◆","■"),""),"")</f>
        <v/>
      </c>
      <c r="M28" s="5" t="str">
        <f aca="false">IF(ISNUMBER(VLOOKUP($A28,WBS_계획!$A:$O,7,FALSE())),IF(AND(M$5&gt;=VLOOKUP($A28,WBS_계획!$A:$O,7,FALSE()),M$5&lt;=VLOOKUP($A28,WBS_계획!$A:$O,8,FALSE())),IF(LEFT($A28,1)="M","◆","■"),""),"")</f>
        <v/>
      </c>
    </row>
    <row r="29" customFormat="false" ht="27.75" hidden="false" customHeight="true" outlineLevel="0" collapsed="false">
      <c r="A29" s="5" t="s">
        <v>160</v>
      </c>
      <c r="B29" s="7" t="str">
        <f aca="false">VLOOKUP($A29,WBS_계획!$A:$O,4,FALSE())</f>
        <v>A* 경로 계획, 빈 주차면 배정</v>
      </c>
      <c r="C29" s="5" t="str">
        <f aca="false">VLOOKUP($A29,WBS_계획!$A:$O,6,FALSE())</f>
        <v>강유나</v>
      </c>
      <c r="D29" s="8" t="str">
        <f aca="false">VLOOKUP($A29,WBS_계획!$A:$O,12,FALSE())</f>
        <v>미착수</v>
      </c>
      <c r="E29" s="5" t="str">
        <f aca="false">IF(ISNUMBER(VLOOKUP($A29,WBS_계획!$A:$O,7,FALSE())),IF(AND(E$5&gt;=VLOOKUP($A29,WBS_계획!$A:$O,7,FALSE()),E$5&lt;=VLOOKUP($A29,WBS_계획!$A:$O,8,FALSE())),IF(LEFT($A29,1)="M","◆","■"),""),"")</f>
        <v/>
      </c>
      <c r="F29" s="5" t="str">
        <f aca="false">IF(ISNUMBER(VLOOKUP($A29,WBS_계획!$A:$O,7,FALSE())),IF(AND(F$5&gt;=VLOOKUP($A29,WBS_계획!$A:$O,7,FALSE()),F$5&lt;=VLOOKUP($A29,WBS_계획!$A:$O,8,FALSE())),IF(LEFT($A29,1)="M","◆","■"),""),"")</f>
        <v/>
      </c>
      <c r="G29" s="5" t="str">
        <f aca="false">IF(ISNUMBER(VLOOKUP($A29,WBS_계획!$A:$O,7,FALSE())),IF(AND(G$5&gt;=VLOOKUP($A29,WBS_계획!$A:$O,7,FALSE()),G$5&lt;=VLOOKUP($A29,WBS_계획!$A:$O,8,FALSE())),IF(LEFT($A29,1)="M","◆","■"),""),"")</f>
        <v>■</v>
      </c>
      <c r="H29" s="5" t="str">
        <f aca="false">IF(ISNUMBER(VLOOKUP($A29,WBS_계획!$A:$O,7,FALSE())),IF(AND(H$5&gt;=VLOOKUP($A29,WBS_계획!$A:$O,7,FALSE()),H$5&lt;=VLOOKUP($A29,WBS_계획!$A:$O,8,FALSE())),IF(LEFT($A29,1)="M","◆","■"),""),"")</f>
        <v/>
      </c>
      <c r="I29" s="5" t="str">
        <f aca="false">IF(ISNUMBER(VLOOKUP($A29,WBS_계획!$A:$O,7,FALSE())),IF(AND(I$5&gt;=VLOOKUP($A29,WBS_계획!$A:$O,7,FALSE()),I$5&lt;=VLOOKUP($A29,WBS_계획!$A:$O,8,FALSE())),IF(LEFT($A29,1)="M","◆","■"),""),"")</f>
        <v/>
      </c>
      <c r="J29" s="5" t="str">
        <f aca="false">IF(ISNUMBER(VLOOKUP($A29,WBS_계획!$A:$O,7,FALSE())),IF(AND(J$5&gt;=VLOOKUP($A29,WBS_계획!$A:$O,7,FALSE()),J$5&lt;=VLOOKUP($A29,WBS_계획!$A:$O,8,FALSE())),IF(LEFT($A29,1)="M","◆","■"),""),"")</f>
        <v/>
      </c>
      <c r="K29" s="5" t="str">
        <f aca="false">IF(ISNUMBER(VLOOKUP($A29,WBS_계획!$A:$O,7,FALSE())),IF(AND(K$5&gt;=VLOOKUP($A29,WBS_계획!$A:$O,7,FALSE()),K$5&lt;=VLOOKUP($A29,WBS_계획!$A:$O,8,FALSE())),IF(LEFT($A29,1)="M","◆","■"),""),"")</f>
        <v/>
      </c>
      <c r="L29" s="5" t="str">
        <f aca="false">IF(ISNUMBER(VLOOKUP($A29,WBS_계획!$A:$O,7,FALSE())),IF(AND(L$5&gt;=VLOOKUP($A29,WBS_계획!$A:$O,7,FALSE()),L$5&lt;=VLOOKUP($A29,WBS_계획!$A:$O,8,FALSE())),IF(LEFT($A29,1)="M","◆","■"),""),"")</f>
        <v/>
      </c>
      <c r="M29" s="5" t="str">
        <f aca="false">IF(ISNUMBER(VLOOKUP($A29,WBS_계획!$A:$O,7,FALSE())),IF(AND(M$5&gt;=VLOOKUP($A29,WBS_계획!$A:$O,7,FALSE()),M$5&lt;=VLOOKUP($A29,WBS_계획!$A:$O,8,FALSE())),IF(LEFT($A29,1)="M","◆","■"),""),"")</f>
        <v/>
      </c>
    </row>
    <row r="30" customFormat="false" ht="27.75" hidden="false" customHeight="true" outlineLevel="0" collapsed="false">
      <c r="A30" s="5" t="s">
        <v>166</v>
      </c>
      <c r="B30" s="7" t="str">
        <f aca="false">VLOOKUP($A30,WBS_계획!$A:$O,4,FALSE())</f>
        <v>예약 테이블 ON·OFF</v>
      </c>
      <c r="C30" s="5" t="str">
        <f aca="false">VLOOKUP($A30,WBS_계획!$A:$O,6,FALSE())</f>
        <v>강유나</v>
      </c>
      <c r="D30" s="8" t="str">
        <f aca="false">VLOOKUP($A30,WBS_계획!$A:$O,12,FALSE())</f>
        <v>미착수</v>
      </c>
      <c r="E30" s="5" t="str">
        <f aca="false">IF(ISNUMBER(VLOOKUP($A30,WBS_계획!$A:$O,7,FALSE())),IF(AND(E$5&gt;=VLOOKUP($A30,WBS_계획!$A:$O,7,FALSE()),E$5&lt;=VLOOKUP($A30,WBS_계획!$A:$O,8,FALSE())),IF(LEFT($A30,1)="M","◆","■"),""),"")</f>
        <v/>
      </c>
      <c r="F30" s="5" t="str">
        <f aca="false">IF(ISNUMBER(VLOOKUP($A30,WBS_계획!$A:$O,7,FALSE())),IF(AND(F$5&gt;=VLOOKUP($A30,WBS_계획!$A:$O,7,FALSE()),F$5&lt;=VLOOKUP($A30,WBS_계획!$A:$O,8,FALSE())),IF(LEFT($A30,1)="M","◆","■"),""),"")</f>
        <v/>
      </c>
      <c r="G30" s="5" t="str">
        <f aca="false">IF(ISNUMBER(VLOOKUP($A30,WBS_계획!$A:$O,7,FALSE())),IF(AND(G$5&gt;=VLOOKUP($A30,WBS_계획!$A:$O,7,FALSE()),G$5&lt;=VLOOKUP($A30,WBS_계획!$A:$O,8,FALSE())),IF(LEFT($A30,1)="M","◆","■"),""),"")</f>
        <v/>
      </c>
      <c r="H30" s="5" t="str">
        <f aca="false">IF(ISNUMBER(VLOOKUP($A30,WBS_계획!$A:$O,7,FALSE())),IF(AND(H$5&gt;=VLOOKUP($A30,WBS_계획!$A:$O,7,FALSE()),H$5&lt;=VLOOKUP($A30,WBS_계획!$A:$O,8,FALSE())),IF(LEFT($A30,1)="M","◆","■"),""),"")</f>
        <v>■</v>
      </c>
      <c r="I30" s="5" t="str">
        <f aca="false">IF(ISNUMBER(VLOOKUP($A30,WBS_계획!$A:$O,7,FALSE())),IF(AND(I$5&gt;=VLOOKUP($A30,WBS_계획!$A:$O,7,FALSE()),I$5&lt;=VLOOKUP($A30,WBS_계획!$A:$O,8,FALSE())),IF(LEFT($A30,1)="M","◆","■"),""),"")</f>
        <v/>
      </c>
      <c r="J30" s="5" t="str">
        <f aca="false">IF(ISNUMBER(VLOOKUP($A30,WBS_계획!$A:$O,7,FALSE())),IF(AND(J$5&gt;=VLOOKUP($A30,WBS_계획!$A:$O,7,FALSE()),J$5&lt;=VLOOKUP($A30,WBS_계획!$A:$O,8,FALSE())),IF(LEFT($A30,1)="M","◆","■"),""),"")</f>
        <v/>
      </c>
      <c r="K30" s="5" t="str">
        <f aca="false">IF(ISNUMBER(VLOOKUP($A30,WBS_계획!$A:$O,7,FALSE())),IF(AND(K$5&gt;=VLOOKUP($A30,WBS_계획!$A:$O,7,FALSE()),K$5&lt;=VLOOKUP($A30,WBS_계획!$A:$O,8,FALSE())),IF(LEFT($A30,1)="M","◆","■"),""),"")</f>
        <v/>
      </c>
      <c r="L30" s="5" t="str">
        <f aca="false">IF(ISNUMBER(VLOOKUP($A30,WBS_계획!$A:$O,7,FALSE())),IF(AND(L$5&gt;=VLOOKUP($A30,WBS_계획!$A:$O,7,FALSE()),L$5&lt;=VLOOKUP($A30,WBS_계획!$A:$O,8,FALSE())),IF(LEFT($A30,1)="M","◆","■"),""),"")</f>
        <v/>
      </c>
      <c r="M30" s="5" t="str">
        <f aca="false">IF(ISNUMBER(VLOOKUP($A30,WBS_계획!$A:$O,7,FALSE())),IF(AND(M$5&gt;=VLOOKUP($A30,WBS_계획!$A:$O,7,FALSE()),M$5&lt;=VLOOKUP($A30,WBS_계획!$A:$O,8,FALSE())),IF(LEFT($A30,1)="M","◆","■"),""),"")</f>
        <v/>
      </c>
    </row>
    <row r="31" customFormat="false" ht="27.75" hidden="false" customHeight="true" outlineLevel="0" collapsed="false">
      <c r="A31" s="5" t="s">
        <v>171</v>
      </c>
      <c r="B31" s="7" t="str">
        <f aca="false">VLOOKUP($A31,WBS_계획!$A:$O,4,FALSE())</f>
        <v>버드뷰 예약 셀 차량 색 표시</v>
      </c>
      <c r="C31" s="5" t="str">
        <f aca="false">VLOOKUP($A31,WBS_계획!$A:$O,6,FALSE())</f>
        <v>강유나</v>
      </c>
      <c r="D31" s="8" t="str">
        <f aca="false">VLOOKUP($A31,WBS_계획!$A:$O,12,FALSE())</f>
        <v>미착수</v>
      </c>
      <c r="E31" s="5" t="str">
        <f aca="false">IF(ISNUMBER(VLOOKUP($A31,WBS_계획!$A:$O,7,FALSE())),IF(AND(E$5&gt;=VLOOKUP($A31,WBS_계획!$A:$O,7,FALSE()),E$5&lt;=VLOOKUP($A31,WBS_계획!$A:$O,8,FALSE())),IF(LEFT($A31,1)="M","◆","■"),""),"")</f>
        <v/>
      </c>
      <c r="F31" s="5" t="str">
        <f aca="false">IF(ISNUMBER(VLOOKUP($A31,WBS_계획!$A:$O,7,FALSE())),IF(AND(F$5&gt;=VLOOKUP($A31,WBS_계획!$A:$O,7,FALSE()),F$5&lt;=VLOOKUP($A31,WBS_계획!$A:$O,8,FALSE())),IF(LEFT($A31,1)="M","◆","■"),""),"")</f>
        <v/>
      </c>
      <c r="G31" s="5" t="str">
        <f aca="false">IF(ISNUMBER(VLOOKUP($A31,WBS_계획!$A:$O,7,FALSE())),IF(AND(G$5&gt;=VLOOKUP($A31,WBS_계획!$A:$O,7,FALSE()),G$5&lt;=VLOOKUP($A31,WBS_계획!$A:$O,8,FALSE())),IF(LEFT($A31,1)="M","◆","■"),""),"")</f>
        <v/>
      </c>
      <c r="H31" s="5" t="str">
        <f aca="false">IF(ISNUMBER(VLOOKUP($A31,WBS_계획!$A:$O,7,FALSE())),IF(AND(H$5&gt;=VLOOKUP($A31,WBS_계획!$A:$O,7,FALSE()),H$5&lt;=VLOOKUP($A31,WBS_계획!$A:$O,8,FALSE())),IF(LEFT($A31,1)="M","◆","■"),""),"")</f>
        <v>■</v>
      </c>
      <c r="I31" s="5" t="str">
        <f aca="false">IF(ISNUMBER(VLOOKUP($A31,WBS_계획!$A:$O,7,FALSE())),IF(AND(I$5&gt;=VLOOKUP($A31,WBS_계획!$A:$O,7,FALSE()),I$5&lt;=VLOOKUP($A31,WBS_계획!$A:$O,8,FALSE())),IF(LEFT($A31,1)="M","◆","■"),""),"")</f>
        <v/>
      </c>
      <c r="J31" s="5" t="str">
        <f aca="false">IF(ISNUMBER(VLOOKUP($A31,WBS_계획!$A:$O,7,FALSE())),IF(AND(J$5&gt;=VLOOKUP($A31,WBS_계획!$A:$O,7,FALSE()),J$5&lt;=VLOOKUP($A31,WBS_계획!$A:$O,8,FALSE())),IF(LEFT($A31,1)="M","◆","■"),""),"")</f>
        <v/>
      </c>
      <c r="K31" s="5" t="str">
        <f aca="false">IF(ISNUMBER(VLOOKUP($A31,WBS_계획!$A:$O,7,FALSE())),IF(AND(K$5&gt;=VLOOKUP($A31,WBS_계획!$A:$O,7,FALSE()),K$5&lt;=VLOOKUP($A31,WBS_계획!$A:$O,8,FALSE())),IF(LEFT($A31,1)="M","◆","■"),""),"")</f>
        <v/>
      </c>
      <c r="L31" s="5" t="str">
        <f aca="false">IF(ISNUMBER(VLOOKUP($A31,WBS_계획!$A:$O,7,FALSE())),IF(AND(L$5&gt;=VLOOKUP($A31,WBS_계획!$A:$O,7,FALSE()),L$5&lt;=VLOOKUP($A31,WBS_계획!$A:$O,8,FALSE())),IF(LEFT($A31,1)="M","◆","■"),""),"")</f>
        <v/>
      </c>
      <c r="M31" s="5" t="str">
        <f aca="false">IF(ISNUMBER(VLOOKUP($A31,WBS_계획!$A:$O,7,FALSE())),IF(AND(M$5&gt;=VLOOKUP($A31,WBS_계획!$A:$O,7,FALSE()),M$5&lt;=VLOOKUP($A31,WBS_계획!$A:$O,8,FALSE())),IF(LEFT($A31,1)="M","◆","■"),""),"")</f>
        <v/>
      </c>
    </row>
    <row r="32" customFormat="false" ht="27.75" hidden="false" customHeight="true" outlineLevel="0" collapsed="false">
      <c r="A32" s="5" t="s">
        <v>175</v>
      </c>
      <c r="B32" s="7" t="str">
        <f aca="false">VLOOKUP($A32,WBS_계획!$A:$O,4,FALSE())</f>
        <v>스마트키 원격 주차, UI-06, 0.2초 정지</v>
      </c>
      <c r="C32" s="5" t="str">
        <f aca="false">VLOOKUP($A32,WBS_계획!$A:$O,6,FALSE())</f>
        <v>강유나</v>
      </c>
      <c r="D32" s="8" t="str">
        <f aca="false">VLOOKUP($A32,WBS_계획!$A:$O,12,FALSE())</f>
        <v>미착수</v>
      </c>
      <c r="E32" s="5" t="str">
        <f aca="false">IF(ISNUMBER(VLOOKUP($A32,WBS_계획!$A:$O,7,FALSE())),IF(AND(E$5&gt;=VLOOKUP($A32,WBS_계획!$A:$O,7,FALSE()),E$5&lt;=VLOOKUP($A32,WBS_계획!$A:$O,8,FALSE())),IF(LEFT($A32,1)="M","◆","■"),""),"")</f>
        <v/>
      </c>
      <c r="F32" s="5" t="str">
        <f aca="false">IF(ISNUMBER(VLOOKUP($A32,WBS_계획!$A:$O,7,FALSE())),IF(AND(F$5&gt;=VLOOKUP($A32,WBS_계획!$A:$O,7,FALSE()),F$5&lt;=VLOOKUP($A32,WBS_계획!$A:$O,8,FALSE())),IF(LEFT($A32,1)="M","◆","■"),""),"")</f>
        <v/>
      </c>
      <c r="G32" s="5" t="str">
        <f aca="false">IF(ISNUMBER(VLOOKUP($A32,WBS_계획!$A:$O,7,FALSE())),IF(AND(G$5&gt;=VLOOKUP($A32,WBS_계획!$A:$O,7,FALSE()),G$5&lt;=VLOOKUP($A32,WBS_계획!$A:$O,8,FALSE())),IF(LEFT($A32,1)="M","◆","■"),""),"")</f>
        <v/>
      </c>
      <c r="H32" s="5" t="str">
        <f aca="false">IF(ISNUMBER(VLOOKUP($A32,WBS_계획!$A:$O,7,FALSE())),IF(AND(H$5&gt;=VLOOKUP($A32,WBS_계획!$A:$O,7,FALSE()),H$5&lt;=VLOOKUP($A32,WBS_계획!$A:$O,8,FALSE())),IF(LEFT($A32,1)="M","◆","■"),""),"")</f>
        <v/>
      </c>
      <c r="I32" s="5" t="str">
        <f aca="false">IF(ISNUMBER(VLOOKUP($A32,WBS_계획!$A:$O,7,FALSE())),IF(AND(I$5&gt;=VLOOKUP($A32,WBS_계획!$A:$O,7,FALSE()),I$5&lt;=VLOOKUP($A32,WBS_계획!$A:$O,8,FALSE())),IF(LEFT($A32,1)="M","◆","■"),""),"")</f>
        <v>■</v>
      </c>
      <c r="J32" s="5" t="str">
        <f aca="false">IF(ISNUMBER(VLOOKUP($A32,WBS_계획!$A:$O,7,FALSE())),IF(AND(J$5&gt;=VLOOKUP($A32,WBS_계획!$A:$O,7,FALSE()),J$5&lt;=VLOOKUP($A32,WBS_계획!$A:$O,8,FALSE())),IF(LEFT($A32,1)="M","◆","■"),""),"")</f>
        <v/>
      </c>
      <c r="K32" s="5" t="str">
        <f aca="false">IF(ISNUMBER(VLOOKUP($A32,WBS_계획!$A:$O,7,FALSE())),IF(AND(K$5&gt;=VLOOKUP($A32,WBS_계획!$A:$O,7,FALSE()),K$5&lt;=VLOOKUP($A32,WBS_계획!$A:$O,8,FALSE())),IF(LEFT($A32,1)="M","◆","■"),""),"")</f>
        <v/>
      </c>
      <c r="L32" s="5" t="str">
        <f aca="false">IF(ISNUMBER(VLOOKUP($A32,WBS_계획!$A:$O,7,FALSE())),IF(AND(L$5&gt;=VLOOKUP($A32,WBS_계획!$A:$O,7,FALSE()),L$5&lt;=VLOOKUP($A32,WBS_계획!$A:$O,8,FALSE())),IF(LEFT($A32,1)="M","◆","■"),""),"")</f>
        <v/>
      </c>
      <c r="M32" s="5" t="str">
        <f aca="false">IF(ISNUMBER(VLOOKUP($A32,WBS_계획!$A:$O,7,FALSE())),IF(AND(M$5&gt;=VLOOKUP($A32,WBS_계획!$A:$O,7,FALSE()),M$5&lt;=VLOOKUP($A32,WBS_계획!$A:$O,8,FALSE())),IF(LEFT($A32,1)="M","◆","■"),""),"")</f>
        <v/>
      </c>
    </row>
    <row r="33" customFormat="false" ht="27.75" hidden="false" customHeight="true" outlineLevel="0" collapsed="false">
      <c r="A33" s="5" t="s">
        <v>181</v>
      </c>
      <c r="B33" s="7" t="str">
        <f aca="false">VLOOKUP($A33,WBS_계획!$A:$O,4,FALSE())</f>
        <v>장애물 0.3m 정지, 문 열림 공간 부족 표시</v>
      </c>
      <c r="C33" s="5" t="str">
        <f aca="false">VLOOKUP($A33,WBS_계획!$A:$O,6,FALSE())</f>
        <v>강유나</v>
      </c>
      <c r="D33" s="8" t="str">
        <f aca="false">VLOOKUP($A33,WBS_계획!$A:$O,12,FALSE())</f>
        <v>미착수</v>
      </c>
      <c r="E33" s="5" t="str">
        <f aca="false">IF(ISNUMBER(VLOOKUP($A33,WBS_계획!$A:$O,7,FALSE())),IF(AND(E$5&gt;=VLOOKUP($A33,WBS_계획!$A:$O,7,FALSE()),E$5&lt;=VLOOKUP($A33,WBS_계획!$A:$O,8,FALSE())),IF(LEFT($A33,1)="M","◆","■"),""),"")</f>
        <v/>
      </c>
      <c r="F33" s="5" t="str">
        <f aca="false">IF(ISNUMBER(VLOOKUP($A33,WBS_계획!$A:$O,7,FALSE())),IF(AND(F$5&gt;=VLOOKUP($A33,WBS_계획!$A:$O,7,FALSE()),F$5&lt;=VLOOKUP($A33,WBS_계획!$A:$O,8,FALSE())),IF(LEFT($A33,1)="M","◆","■"),""),"")</f>
        <v/>
      </c>
      <c r="G33" s="5" t="str">
        <f aca="false">IF(ISNUMBER(VLOOKUP($A33,WBS_계획!$A:$O,7,FALSE())),IF(AND(G$5&gt;=VLOOKUP($A33,WBS_계획!$A:$O,7,FALSE()),G$5&lt;=VLOOKUP($A33,WBS_계획!$A:$O,8,FALSE())),IF(LEFT($A33,1)="M","◆","■"),""),"")</f>
        <v/>
      </c>
      <c r="H33" s="5" t="str">
        <f aca="false">IF(ISNUMBER(VLOOKUP($A33,WBS_계획!$A:$O,7,FALSE())),IF(AND(H$5&gt;=VLOOKUP($A33,WBS_계획!$A:$O,7,FALSE()),H$5&lt;=VLOOKUP($A33,WBS_계획!$A:$O,8,FALSE())),IF(LEFT($A33,1)="M","◆","■"),""),"")</f>
        <v/>
      </c>
      <c r="I33" s="5" t="str">
        <f aca="false">IF(ISNUMBER(VLOOKUP($A33,WBS_계획!$A:$O,7,FALSE())),IF(AND(I$5&gt;=VLOOKUP($A33,WBS_계획!$A:$O,7,FALSE()),I$5&lt;=VLOOKUP($A33,WBS_계획!$A:$O,8,FALSE())),IF(LEFT($A33,1)="M","◆","■"),""),"")</f>
        <v/>
      </c>
      <c r="J33" s="5" t="str">
        <f aca="false">IF(ISNUMBER(VLOOKUP($A33,WBS_계획!$A:$O,7,FALSE())),IF(AND(J$5&gt;=VLOOKUP($A33,WBS_계획!$A:$O,7,FALSE()),J$5&lt;=VLOOKUP($A33,WBS_계획!$A:$O,8,FALSE())),IF(LEFT($A33,1)="M","◆","■"),""),"")</f>
        <v>■</v>
      </c>
      <c r="K33" s="5" t="str">
        <f aca="false">IF(ISNUMBER(VLOOKUP($A33,WBS_계획!$A:$O,7,FALSE())),IF(AND(K$5&gt;=VLOOKUP($A33,WBS_계획!$A:$O,7,FALSE()),K$5&lt;=VLOOKUP($A33,WBS_계획!$A:$O,8,FALSE())),IF(LEFT($A33,1)="M","◆","■"),""),"")</f>
        <v/>
      </c>
      <c r="L33" s="5" t="str">
        <f aca="false">IF(ISNUMBER(VLOOKUP($A33,WBS_계획!$A:$O,7,FALSE())),IF(AND(L$5&gt;=VLOOKUP($A33,WBS_계획!$A:$O,7,FALSE()),L$5&lt;=VLOOKUP($A33,WBS_계획!$A:$O,8,FALSE())),IF(LEFT($A33,1)="M","◆","■"),""),"")</f>
        <v/>
      </c>
      <c r="M33" s="5" t="str">
        <f aca="false">IF(ISNUMBER(VLOOKUP($A33,WBS_계획!$A:$O,7,FALSE())),IF(AND(M$5&gt;=VLOOKUP($A33,WBS_계획!$A:$O,7,FALSE()),M$5&lt;=VLOOKUP($A33,WBS_계획!$A:$O,8,FALSE())),IF(LEFT($A33,1)="M","◆","■"),""),"")</f>
        <v/>
      </c>
    </row>
    <row r="34" customFormat="false" ht="27.75" hidden="false" customHeight="true" outlineLevel="0" collapsed="false">
      <c r="A34" s="5" t="s">
        <v>185</v>
      </c>
      <c r="B34" s="7" t="str">
        <f aca="false">VLOOKUP($A34,WBS_계획!$A:$O,4,FALSE())</f>
        <v>(Should) 상태 표시, 문 열림 반경</v>
      </c>
      <c r="C34" s="5" t="str">
        <f aca="false">VLOOKUP($A34,WBS_계획!$A:$O,6,FALSE())</f>
        <v>강유나</v>
      </c>
      <c r="D34" s="8" t="str">
        <f aca="false">VLOOKUP($A34,WBS_계획!$A:$O,12,FALSE())</f>
        <v>미착수</v>
      </c>
      <c r="E34" s="5" t="str">
        <f aca="false">IF(ISNUMBER(VLOOKUP($A34,WBS_계획!$A:$O,7,FALSE())),IF(AND(E$5&gt;=VLOOKUP($A34,WBS_계획!$A:$O,7,FALSE()),E$5&lt;=VLOOKUP($A34,WBS_계획!$A:$O,8,FALSE())),IF(LEFT($A34,1)="M","◆","■"),""),"")</f>
        <v/>
      </c>
      <c r="F34" s="5" t="str">
        <f aca="false">IF(ISNUMBER(VLOOKUP($A34,WBS_계획!$A:$O,7,FALSE())),IF(AND(F$5&gt;=VLOOKUP($A34,WBS_계획!$A:$O,7,FALSE()),F$5&lt;=VLOOKUP($A34,WBS_계획!$A:$O,8,FALSE())),IF(LEFT($A34,1)="M","◆","■"),""),"")</f>
        <v/>
      </c>
      <c r="G34" s="5" t="str">
        <f aca="false">IF(ISNUMBER(VLOOKUP($A34,WBS_계획!$A:$O,7,FALSE())),IF(AND(G$5&gt;=VLOOKUP($A34,WBS_계획!$A:$O,7,FALSE()),G$5&lt;=VLOOKUP($A34,WBS_계획!$A:$O,8,FALSE())),IF(LEFT($A34,1)="M","◆","■"),""),"")</f>
        <v/>
      </c>
      <c r="H34" s="5" t="str">
        <f aca="false">IF(ISNUMBER(VLOOKUP($A34,WBS_계획!$A:$O,7,FALSE())),IF(AND(H$5&gt;=VLOOKUP($A34,WBS_계획!$A:$O,7,FALSE()),H$5&lt;=VLOOKUP($A34,WBS_계획!$A:$O,8,FALSE())),IF(LEFT($A34,1)="M","◆","■"),""),"")</f>
        <v/>
      </c>
      <c r="I34" s="5" t="str">
        <f aca="false">IF(ISNUMBER(VLOOKUP($A34,WBS_계획!$A:$O,7,FALSE())),IF(AND(I$5&gt;=VLOOKUP($A34,WBS_계획!$A:$O,7,FALSE()),I$5&lt;=VLOOKUP($A34,WBS_계획!$A:$O,8,FALSE())),IF(LEFT($A34,1)="M","◆","■"),""),"")</f>
        <v/>
      </c>
      <c r="J34" s="5" t="str">
        <f aca="false">IF(ISNUMBER(VLOOKUP($A34,WBS_계획!$A:$O,7,FALSE())),IF(AND(J$5&gt;=VLOOKUP($A34,WBS_계획!$A:$O,7,FALSE()),J$5&lt;=VLOOKUP($A34,WBS_계획!$A:$O,8,FALSE())),IF(LEFT($A34,1)="M","◆","■"),""),"")</f>
        <v/>
      </c>
      <c r="K34" s="5" t="str">
        <f aca="false">IF(ISNUMBER(VLOOKUP($A34,WBS_계획!$A:$O,7,FALSE())),IF(AND(K$5&gt;=VLOOKUP($A34,WBS_계획!$A:$O,7,FALSE()),K$5&lt;=VLOOKUP($A34,WBS_계획!$A:$O,8,FALSE())),IF(LEFT($A34,1)="M","◆","■"),""),"")</f>
        <v>■</v>
      </c>
      <c r="L34" s="5" t="str">
        <f aca="false">IF(ISNUMBER(VLOOKUP($A34,WBS_계획!$A:$O,7,FALSE())),IF(AND(L$5&gt;=VLOOKUP($A34,WBS_계획!$A:$O,7,FALSE()),L$5&lt;=VLOOKUP($A34,WBS_계획!$A:$O,8,FALSE())),IF(LEFT($A34,1)="M","◆","■"),""),"")</f>
        <v>■</v>
      </c>
      <c r="M34" s="5" t="str">
        <f aca="false">IF(ISNUMBER(VLOOKUP($A34,WBS_계획!$A:$O,7,FALSE())),IF(AND(M$5&gt;=VLOOKUP($A34,WBS_계획!$A:$O,7,FALSE()),M$5&lt;=VLOOKUP($A34,WBS_계획!$A:$O,8,FALSE())),IF(LEFT($A34,1)="M","◆","■"),""),"")</f>
        <v/>
      </c>
    </row>
    <row r="35" customFormat="false" ht="27.75" hidden="false" customHeight="true" outlineLevel="0" collapsed="false">
      <c r="A35" s="5" t="s">
        <v>189</v>
      </c>
      <c r="B35" s="7" t="str">
        <f aca="false">VLOOKUP($A35,WBS_계획!$A:$O,4,FALSE())</f>
        <v>주행 ScenarioManager, 두 차량 동시 출발</v>
      </c>
      <c r="C35" s="5" t="str">
        <f aca="false">VLOOKUP($A35,WBS_계획!$A:$O,6,FALSE())</f>
        <v>김예은</v>
      </c>
      <c r="D35" s="8" t="str">
        <f aca="false">VLOOKUP($A35,WBS_계획!$A:$O,12,FALSE())</f>
        <v>미착수</v>
      </c>
      <c r="E35" s="5" t="str">
        <f aca="false">IF(ISNUMBER(VLOOKUP($A35,WBS_계획!$A:$O,7,FALSE())),IF(AND(E$5&gt;=VLOOKUP($A35,WBS_계획!$A:$O,7,FALSE()),E$5&lt;=VLOOKUP($A35,WBS_계획!$A:$O,8,FALSE())),IF(LEFT($A35,1)="M","◆","■"),""),"")</f>
        <v/>
      </c>
      <c r="F35" s="5" t="str">
        <f aca="false">IF(ISNUMBER(VLOOKUP($A35,WBS_계획!$A:$O,7,FALSE())),IF(AND(F$5&gt;=VLOOKUP($A35,WBS_계획!$A:$O,7,FALSE()),F$5&lt;=VLOOKUP($A35,WBS_계획!$A:$O,8,FALSE())),IF(LEFT($A35,1)="M","◆","■"),""),"")</f>
        <v/>
      </c>
      <c r="G35" s="5" t="str">
        <f aca="false">IF(ISNUMBER(VLOOKUP($A35,WBS_계획!$A:$O,7,FALSE())),IF(AND(G$5&gt;=VLOOKUP($A35,WBS_계획!$A:$O,7,FALSE()),G$5&lt;=VLOOKUP($A35,WBS_계획!$A:$O,8,FALSE())),IF(LEFT($A35,1)="M","◆","■"),""),"")</f>
        <v/>
      </c>
      <c r="H35" s="5" t="str">
        <f aca="false">IF(ISNUMBER(VLOOKUP($A35,WBS_계획!$A:$O,7,FALSE())),IF(AND(H$5&gt;=VLOOKUP($A35,WBS_계획!$A:$O,7,FALSE()),H$5&lt;=VLOOKUP($A35,WBS_계획!$A:$O,8,FALSE())),IF(LEFT($A35,1)="M","◆","■"),""),"")</f>
        <v/>
      </c>
      <c r="I35" s="5" t="str">
        <f aca="false">IF(ISNUMBER(VLOOKUP($A35,WBS_계획!$A:$O,7,FALSE())),IF(AND(I$5&gt;=VLOOKUP($A35,WBS_계획!$A:$O,7,FALSE()),I$5&lt;=VLOOKUP($A35,WBS_계획!$A:$O,8,FALSE())),IF(LEFT($A35,1)="M","◆","■"),""),"")</f>
        <v/>
      </c>
      <c r="J35" s="5" t="str">
        <f aca="false">IF(ISNUMBER(VLOOKUP($A35,WBS_계획!$A:$O,7,FALSE())),IF(AND(J$5&gt;=VLOOKUP($A35,WBS_계획!$A:$O,7,FALSE()),J$5&lt;=VLOOKUP($A35,WBS_계획!$A:$O,8,FALSE())),IF(LEFT($A35,1)="M","◆","■"),""),"")</f>
        <v/>
      </c>
      <c r="K35" s="5" t="str">
        <f aca="false">IF(ISNUMBER(VLOOKUP($A35,WBS_계획!$A:$O,7,FALSE())),IF(AND(K$5&gt;=VLOOKUP($A35,WBS_계획!$A:$O,7,FALSE()),K$5&lt;=VLOOKUP($A35,WBS_계획!$A:$O,8,FALSE())),IF(LEFT($A35,1)="M","◆","■"),""),"")</f>
        <v>■</v>
      </c>
      <c r="L35" s="5" t="str">
        <f aca="false">IF(ISNUMBER(VLOOKUP($A35,WBS_계획!$A:$O,7,FALSE())),IF(AND(L$5&gt;=VLOOKUP($A35,WBS_계획!$A:$O,7,FALSE()),L$5&lt;=VLOOKUP($A35,WBS_계획!$A:$O,8,FALSE())),IF(LEFT($A35,1)="M","◆","■"),""),"")</f>
        <v/>
      </c>
      <c r="M35" s="5" t="str">
        <f aca="false">IF(ISNUMBER(VLOOKUP($A35,WBS_계획!$A:$O,7,FALSE())),IF(AND(M$5&gt;=VLOOKUP($A35,WBS_계획!$A:$O,7,FALSE()),M$5&lt;=VLOOKUP($A35,WBS_계획!$A:$O,8,FALSE())),IF(LEFT($A35,1)="M","◆","■"),""),"")</f>
        <v/>
      </c>
    </row>
    <row r="36" customFormat="false" ht="27.75" hidden="false" customHeight="true" outlineLevel="0" collapsed="false">
      <c r="A36" s="5" t="s">
        <v>196</v>
      </c>
      <c r="B36" s="7" t="str">
        <f aca="false">VLOOKUP($A36,WBS_계획!$A:$O,4,FALSE())</f>
        <v>주차 ScenarioManager</v>
      </c>
      <c r="C36" s="5" t="str">
        <f aca="false">VLOOKUP($A36,WBS_계획!$A:$O,6,FALSE())</f>
        <v>강유나</v>
      </c>
      <c r="D36" s="8" t="str">
        <f aca="false">VLOOKUP($A36,WBS_계획!$A:$O,12,FALSE())</f>
        <v>미착수</v>
      </c>
      <c r="E36" s="5" t="str">
        <f aca="false">IF(ISNUMBER(VLOOKUP($A36,WBS_계획!$A:$O,7,FALSE())),IF(AND(E$5&gt;=VLOOKUP($A36,WBS_계획!$A:$O,7,FALSE()),E$5&lt;=VLOOKUP($A36,WBS_계획!$A:$O,8,FALSE())),IF(LEFT($A36,1)="M","◆","■"),""),"")</f>
        <v/>
      </c>
      <c r="F36" s="5" t="str">
        <f aca="false">IF(ISNUMBER(VLOOKUP($A36,WBS_계획!$A:$O,7,FALSE())),IF(AND(F$5&gt;=VLOOKUP($A36,WBS_계획!$A:$O,7,FALSE()),F$5&lt;=VLOOKUP($A36,WBS_계획!$A:$O,8,FALSE())),IF(LEFT($A36,1)="M","◆","■"),""),"")</f>
        <v/>
      </c>
      <c r="G36" s="5" t="str">
        <f aca="false">IF(ISNUMBER(VLOOKUP($A36,WBS_계획!$A:$O,7,FALSE())),IF(AND(G$5&gt;=VLOOKUP($A36,WBS_계획!$A:$O,7,FALSE()),G$5&lt;=VLOOKUP($A36,WBS_계획!$A:$O,8,FALSE())),IF(LEFT($A36,1)="M","◆","■"),""),"")</f>
        <v/>
      </c>
      <c r="H36" s="5" t="str">
        <f aca="false">IF(ISNUMBER(VLOOKUP($A36,WBS_계획!$A:$O,7,FALSE())),IF(AND(H$5&gt;=VLOOKUP($A36,WBS_계획!$A:$O,7,FALSE()),H$5&lt;=VLOOKUP($A36,WBS_계획!$A:$O,8,FALSE())),IF(LEFT($A36,1)="M","◆","■"),""),"")</f>
        <v/>
      </c>
      <c r="I36" s="5" t="str">
        <f aca="false">IF(ISNUMBER(VLOOKUP($A36,WBS_계획!$A:$O,7,FALSE())),IF(AND(I$5&gt;=VLOOKUP($A36,WBS_계획!$A:$O,7,FALSE()),I$5&lt;=VLOOKUP($A36,WBS_계획!$A:$O,8,FALSE())),IF(LEFT($A36,1)="M","◆","■"),""),"")</f>
        <v/>
      </c>
      <c r="J36" s="5" t="str">
        <f aca="false">IF(ISNUMBER(VLOOKUP($A36,WBS_계획!$A:$O,7,FALSE())),IF(AND(J$5&gt;=VLOOKUP($A36,WBS_계획!$A:$O,7,FALSE()),J$5&lt;=VLOOKUP($A36,WBS_계획!$A:$O,8,FALSE())),IF(LEFT($A36,1)="M","◆","■"),""),"")</f>
        <v/>
      </c>
      <c r="K36" s="5" t="str">
        <f aca="false">IF(ISNUMBER(VLOOKUP($A36,WBS_계획!$A:$O,7,FALSE())),IF(AND(K$5&gt;=VLOOKUP($A36,WBS_계획!$A:$O,7,FALSE()),K$5&lt;=VLOOKUP($A36,WBS_계획!$A:$O,8,FALSE())),IF(LEFT($A36,1)="M","◆","■"),""),"")</f>
        <v>■</v>
      </c>
      <c r="L36" s="5" t="str">
        <f aca="false">IF(ISNUMBER(VLOOKUP($A36,WBS_계획!$A:$O,7,FALSE())),IF(AND(L$5&gt;=VLOOKUP($A36,WBS_계획!$A:$O,7,FALSE()),L$5&lt;=VLOOKUP($A36,WBS_계획!$A:$O,8,FALSE())),IF(LEFT($A36,1)="M","◆","■"),""),"")</f>
        <v/>
      </c>
      <c r="M36" s="5" t="str">
        <f aca="false">IF(ISNUMBER(VLOOKUP($A36,WBS_계획!$A:$O,7,FALSE())),IF(AND(M$5&gt;=VLOOKUP($A36,WBS_계획!$A:$O,7,FALSE()),M$5&lt;=VLOOKUP($A36,WBS_계획!$A:$O,8,FALSE())),IF(LEFT($A36,1)="M","◆","■"),""),"")</f>
        <v/>
      </c>
    </row>
    <row r="37" customFormat="false" ht="27.75" hidden="false" customHeight="true" outlineLevel="0" collapsed="false">
      <c r="A37" s="5" t="s">
        <v>200</v>
      </c>
      <c r="B37" s="7" t="str">
        <f aca="false">VLOOKUP($A37,WBS_계획!$A:$O,4,FALSE())</f>
        <v>모드 전환 통합 (반복 전환 시 초기화·조명)</v>
      </c>
      <c r="C37" s="5" t="str">
        <f aca="false">VLOOKUP($A37,WBS_계획!$A:$O,6,FALSE())</f>
        <v>공동</v>
      </c>
      <c r="D37" s="8" t="str">
        <f aca="false">VLOOKUP($A37,WBS_계획!$A:$O,12,FALSE())</f>
        <v>미착수</v>
      </c>
      <c r="E37" s="5" t="str">
        <f aca="false">IF(ISNUMBER(VLOOKUP($A37,WBS_계획!$A:$O,7,FALSE())),IF(AND(E$5&gt;=VLOOKUP($A37,WBS_계획!$A:$O,7,FALSE()),E$5&lt;=VLOOKUP($A37,WBS_계획!$A:$O,8,FALSE())),IF(LEFT($A37,1)="M","◆","■"),""),"")</f>
        <v/>
      </c>
      <c r="F37" s="5" t="str">
        <f aca="false">IF(ISNUMBER(VLOOKUP($A37,WBS_계획!$A:$O,7,FALSE())),IF(AND(F$5&gt;=VLOOKUP($A37,WBS_계획!$A:$O,7,FALSE()),F$5&lt;=VLOOKUP($A37,WBS_계획!$A:$O,8,FALSE())),IF(LEFT($A37,1)="M","◆","■"),""),"")</f>
        <v/>
      </c>
      <c r="G37" s="5" t="str">
        <f aca="false">IF(ISNUMBER(VLOOKUP($A37,WBS_계획!$A:$O,7,FALSE())),IF(AND(G$5&gt;=VLOOKUP($A37,WBS_계획!$A:$O,7,FALSE()),G$5&lt;=VLOOKUP($A37,WBS_계획!$A:$O,8,FALSE())),IF(LEFT($A37,1)="M","◆","■"),""),"")</f>
        <v/>
      </c>
      <c r="H37" s="5" t="str">
        <f aca="false">IF(ISNUMBER(VLOOKUP($A37,WBS_계획!$A:$O,7,FALSE())),IF(AND(H$5&gt;=VLOOKUP($A37,WBS_계획!$A:$O,7,FALSE()),H$5&lt;=VLOOKUP($A37,WBS_계획!$A:$O,8,FALSE())),IF(LEFT($A37,1)="M","◆","■"),""),"")</f>
        <v/>
      </c>
      <c r="I37" s="5" t="str">
        <f aca="false">IF(ISNUMBER(VLOOKUP($A37,WBS_계획!$A:$O,7,FALSE())),IF(AND(I$5&gt;=VLOOKUP($A37,WBS_계획!$A:$O,7,FALSE()),I$5&lt;=VLOOKUP($A37,WBS_계획!$A:$O,8,FALSE())),IF(LEFT($A37,1)="M","◆","■"),""),"")</f>
        <v/>
      </c>
      <c r="J37" s="5" t="str">
        <f aca="false">IF(ISNUMBER(VLOOKUP($A37,WBS_계획!$A:$O,7,FALSE())),IF(AND(J$5&gt;=VLOOKUP($A37,WBS_계획!$A:$O,7,FALSE()),J$5&lt;=VLOOKUP($A37,WBS_계획!$A:$O,8,FALSE())),IF(LEFT($A37,1)="M","◆","■"),""),"")</f>
        <v/>
      </c>
      <c r="K37" s="5" t="str">
        <f aca="false">IF(ISNUMBER(VLOOKUP($A37,WBS_계획!$A:$O,7,FALSE())),IF(AND(K$5&gt;=VLOOKUP($A37,WBS_계획!$A:$O,7,FALSE()),K$5&lt;=VLOOKUP($A37,WBS_계획!$A:$O,8,FALSE())),IF(LEFT($A37,1)="M","◆","■"),""),"")</f>
        <v>■</v>
      </c>
      <c r="L37" s="5" t="str">
        <f aca="false">IF(ISNUMBER(VLOOKUP($A37,WBS_계획!$A:$O,7,FALSE())),IF(AND(L$5&gt;=VLOOKUP($A37,WBS_계획!$A:$O,7,FALSE()),L$5&lt;=VLOOKUP($A37,WBS_계획!$A:$O,8,FALSE())),IF(LEFT($A37,1)="M","◆","■"),""),"")</f>
        <v/>
      </c>
      <c r="M37" s="5" t="str">
        <f aca="false">IF(ISNUMBER(VLOOKUP($A37,WBS_계획!$A:$O,7,FALSE())),IF(AND(M$5&gt;=VLOOKUP($A37,WBS_계획!$A:$O,7,FALSE()),M$5&lt;=VLOOKUP($A37,WBS_계획!$A:$O,8,FALSE())),IF(LEFT($A37,1)="M","◆","■"),""),"")</f>
        <v/>
      </c>
    </row>
    <row r="38" customFormat="false" ht="27.75" hidden="false" customHeight="true" outlineLevel="0" collapsed="false">
      <c r="A38" s="5" t="s">
        <v>205</v>
      </c>
      <c r="B38" s="7" t="str">
        <f aca="false">VLOOKUP($A38,WBS_계획!$A:$O,4,FALSE())</f>
        <v>(Could) 결과 패널, 일시정지</v>
      </c>
      <c r="C38" s="5" t="str">
        <f aca="false">VLOOKUP($A38,WBS_계획!$A:$O,6,FALSE())</f>
        <v>공동</v>
      </c>
      <c r="D38" s="8" t="str">
        <f aca="false">VLOOKUP($A38,WBS_계획!$A:$O,12,FALSE())</f>
        <v>보류</v>
      </c>
      <c r="E38" s="5" t="str">
        <f aca="false">IF(ISNUMBER(VLOOKUP($A38,WBS_계획!$A:$O,7,FALSE())),IF(AND(E$5&gt;=VLOOKUP($A38,WBS_계획!$A:$O,7,FALSE()),E$5&lt;=VLOOKUP($A38,WBS_계획!$A:$O,8,FALSE())),IF(LEFT($A38,1)="M","◆","■"),""),"")</f>
        <v/>
      </c>
      <c r="F38" s="5" t="str">
        <f aca="false">IF(ISNUMBER(VLOOKUP($A38,WBS_계획!$A:$O,7,FALSE())),IF(AND(F$5&gt;=VLOOKUP($A38,WBS_계획!$A:$O,7,FALSE()),F$5&lt;=VLOOKUP($A38,WBS_계획!$A:$O,8,FALSE())),IF(LEFT($A38,1)="M","◆","■"),""),"")</f>
        <v/>
      </c>
      <c r="G38" s="5" t="str">
        <f aca="false">IF(ISNUMBER(VLOOKUP($A38,WBS_계획!$A:$O,7,FALSE())),IF(AND(G$5&gt;=VLOOKUP($A38,WBS_계획!$A:$O,7,FALSE()),G$5&lt;=VLOOKUP($A38,WBS_계획!$A:$O,8,FALSE())),IF(LEFT($A38,1)="M","◆","■"),""),"")</f>
        <v/>
      </c>
      <c r="H38" s="5" t="str">
        <f aca="false">IF(ISNUMBER(VLOOKUP($A38,WBS_계획!$A:$O,7,FALSE())),IF(AND(H$5&gt;=VLOOKUP($A38,WBS_계획!$A:$O,7,FALSE()),H$5&lt;=VLOOKUP($A38,WBS_계획!$A:$O,8,FALSE())),IF(LEFT($A38,1)="M","◆","■"),""),"")</f>
        <v/>
      </c>
      <c r="I38" s="5" t="str">
        <f aca="false">IF(ISNUMBER(VLOOKUP($A38,WBS_계획!$A:$O,7,FALSE())),IF(AND(I$5&gt;=VLOOKUP($A38,WBS_계획!$A:$O,7,FALSE()),I$5&lt;=VLOOKUP($A38,WBS_계획!$A:$O,8,FALSE())),IF(LEFT($A38,1)="M","◆","■"),""),"")</f>
        <v/>
      </c>
      <c r="J38" s="5" t="str">
        <f aca="false">IF(ISNUMBER(VLOOKUP($A38,WBS_계획!$A:$O,7,FALSE())),IF(AND(J$5&gt;=VLOOKUP($A38,WBS_계획!$A:$O,7,FALSE()),J$5&lt;=VLOOKUP($A38,WBS_계획!$A:$O,8,FALSE())),IF(LEFT($A38,1)="M","◆","■"),""),"")</f>
        <v/>
      </c>
      <c r="K38" s="5" t="str">
        <f aca="false">IF(ISNUMBER(VLOOKUP($A38,WBS_계획!$A:$O,7,FALSE())),IF(AND(K$5&gt;=VLOOKUP($A38,WBS_계획!$A:$O,7,FALSE()),K$5&lt;=VLOOKUP($A38,WBS_계획!$A:$O,8,FALSE())),IF(LEFT($A38,1)="M","◆","■"),""),"")</f>
        <v/>
      </c>
      <c r="L38" s="5" t="str">
        <f aca="false">IF(ISNUMBER(VLOOKUP($A38,WBS_계획!$A:$O,7,FALSE())),IF(AND(L$5&gt;=VLOOKUP($A38,WBS_계획!$A:$O,7,FALSE()),L$5&lt;=VLOOKUP($A38,WBS_계획!$A:$O,8,FALSE())),IF(LEFT($A38,1)="M","◆","■"),""),"")</f>
        <v/>
      </c>
      <c r="M38" s="5" t="str">
        <f aca="false">IF(ISNUMBER(VLOOKUP($A38,WBS_계획!$A:$O,7,FALSE())),IF(AND(M$5&gt;=VLOOKUP($A38,WBS_계획!$A:$O,7,FALSE()),M$5&lt;=VLOOKUP($A38,WBS_계획!$A:$O,8,FALSE())),IF(LEFT($A38,1)="M","◆","■"),""),"")</f>
        <v/>
      </c>
    </row>
    <row r="39" customFormat="false" ht="27.75" hidden="false" customHeight="true" outlineLevel="0" collapsed="false">
      <c r="A39" s="5" t="s">
        <v>210</v>
      </c>
      <c r="B39" s="7" t="str">
        <f aca="false">VLOOKUP($A39,WBS_계획!$A:$O,4,FALSE())</f>
        <v>주행 TC 수행 (TC-02~10)</v>
      </c>
      <c r="C39" s="5" t="str">
        <f aca="false">VLOOKUP($A39,WBS_계획!$A:$O,6,FALSE())</f>
        <v>김예은</v>
      </c>
      <c r="D39" s="8" t="str">
        <f aca="false">VLOOKUP($A39,WBS_계획!$A:$O,12,FALSE())</f>
        <v>미착수</v>
      </c>
      <c r="E39" s="5" t="str">
        <f aca="false">IF(ISNUMBER(VLOOKUP($A39,WBS_계획!$A:$O,7,FALSE())),IF(AND(E$5&gt;=VLOOKUP($A39,WBS_계획!$A:$O,7,FALSE()),E$5&lt;=VLOOKUP($A39,WBS_계획!$A:$O,8,FALSE())),IF(LEFT($A39,1)="M","◆","■"),""),"")</f>
        <v/>
      </c>
      <c r="F39" s="5" t="str">
        <f aca="false">IF(ISNUMBER(VLOOKUP($A39,WBS_계획!$A:$O,7,FALSE())),IF(AND(F$5&gt;=VLOOKUP($A39,WBS_계획!$A:$O,7,FALSE()),F$5&lt;=VLOOKUP($A39,WBS_계획!$A:$O,8,FALSE())),IF(LEFT($A39,1)="M","◆","■"),""),"")</f>
        <v/>
      </c>
      <c r="G39" s="5" t="str">
        <f aca="false">IF(ISNUMBER(VLOOKUP($A39,WBS_계획!$A:$O,7,FALSE())),IF(AND(G$5&gt;=VLOOKUP($A39,WBS_계획!$A:$O,7,FALSE()),G$5&lt;=VLOOKUP($A39,WBS_계획!$A:$O,8,FALSE())),IF(LEFT($A39,1)="M","◆","■"),""),"")</f>
        <v/>
      </c>
      <c r="H39" s="5" t="str">
        <f aca="false">IF(ISNUMBER(VLOOKUP($A39,WBS_계획!$A:$O,7,FALSE())),IF(AND(H$5&gt;=VLOOKUP($A39,WBS_계획!$A:$O,7,FALSE()),H$5&lt;=VLOOKUP($A39,WBS_계획!$A:$O,8,FALSE())),IF(LEFT($A39,1)="M","◆","■"),""),"")</f>
        <v/>
      </c>
      <c r="I39" s="5" t="str">
        <f aca="false">IF(ISNUMBER(VLOOKUP($A39,WBS_계획!$A:$O,7,FALSE())),IF(AND(I$5&gt;=VLOOKUP($A39,WBS_계획!$A:$O,7,FALSE()),I$5&lt;=VLOOKUP($A39,WBS_계획!$A:$O,8,FALSE())),IF(LEFT($A39,1)="M","◆","■"),""),"")</f>
        <v/>
      </c>
      <c r="J39" s="5" t="str">
        <f aca="false">IF(ISNUMBER(VLOOKUP($A39,WBS_계획!$A:$O,7,FALSE())),IF(AND(J$5&gt;=VLOOKUP($A39,WBS_계획!$A:$O,7,FALSE()),J$5&lt;=VLOOKUP($A39,WBS_계획!$A:$O,8,FALSE())),IF(LEFT($A39,1)="M","◆","■"),""),"")</f>
        <v/>
      </c>
      <c r="K39" s="5" t="str">
        <f aca="false">IF(ISNUMBER(VLOOKUP($A39,WBS_계획!$A:$O,7,FALSE())),IF(AND(K$5&gt;=VLOOKUP($A39,WBS_계획!$A:$O,7,FALSE()),K$5&lt;=VLOOKUP($A39,WBS_계획!$A:$O,8,FALSE())),IF(LEFT($A39,1)="M","◆","■"),""),"")</f>
        <v/>
      </c>
      <c r="L39" s="5" t="str">
        <f aca="false">IF(ISNUMBER(VLOOKUP($A39,WBS_계획!$A:$O,7,FALSE())),IF(AND(L$5&gt;=VLOOKUP($A39,WBS_계획!$A:$O,7,FALSE()),L$5&lt;=VLOOKUP($A39,WBS_계획!$A:$O,8,FALSE())),IF(LEFT($A39,1)="M","◆","■"),""),"")</f>
        <v>■</v>
      </c>
      <c r="M39" s="5" t="str">
        <f aca="false">IF(ISNUMBER(VLOOKUP($A39,WBS_계획!$A:$O,7,FALSE())),IF(AND(M$5&gt;=VLOOKUP($A39,WBS_계획!$A:$O,7,FALSE()),M$5&lt;=VLOOKUP($A39,WBS_계획!$A:$O,8,FALSE())),IF(LEFT($A39,1)="M","◆","■"),""),"")</f>
        <v/>
      </c>
    </row>
    <row r="40" customFormat="false" ht="27.75" hidden="false" customHeight="true" outlineLevel="0" collapsed="false">
      <c r="A40" s="5" t="s">
        <v>215</v>
      </c>
      <c r="B40" s="7" t="str">
        <f aca="false">VLOOKUP($A40,WBS_계획!$A:$O,4,FALSE())</f>
        <v>주차 TC 수행 (TC-11~15)</v>
      </c>
      <c r="C40" s="5" t="str">
        <f aca="false">VLOOKUP($A40,WBS_계획!$A:$O,6,FALSE())</f>
        <v>강유나</v>
      </c>
      <c r="D40" s="8" t="str">
        <f aca="false">VLOOKUP($A40,WBS_계획!$A:$O,12,FALSE())</f>
        <v>미착수</v>
      </c>
      <c r="E40" s="5" t="str">
        <f aca="false">IF(ISNUMBER(VLOOKUP($A40,WBS_계획!$A:$O,7,FALSE())),IF(AND(E$5&gt;=VLOOKUP($A40,WBS_계획!$A:$O,7,FALSE()),E$5&lt;=VLOOKUP($A40,WBS_계획!$A:$O,8,FALSE())),IF(LEFT($A40,1)="M","◆","■"),""),"")</f>
        <v/>
      </c>
      <c r="F40" s="5" t="str">
        <f aca="false">IF(ISNUMBER(VLOOKUP($A40,WBS_계획!$A:$O,7,FALSE())),IF(AND(F$5&gt;=VLOOKUP($A40,WBS_계획!$A:$O,7,FALSE()),F$5&lt;=VLOOKUP($A40,WBS_계획!$A:$O,8,FALSE())),IF(LEFT($A40,1)="M","◆","■"),""),"")</f>
        <v/>
      </c>
      <c r="G40" s="5" t="str">
        <f aca="false">IF(ISNUMBER(VLOOKUP($A40,WBS_계획!$A:$O,7,FALSE())),IF(AND(G$5&gt;=VLOOKUP($A40,WBS_계획!$A:$O,7,FALSE()),G$5&lt;=VLOOKUP($A40,WBS_계획!$A:$O,8,FALSE())),IF(LEFT($A40,1)="M","◆","■"),""),"")</f>
        <v/>
      </c>
      <c r="H40" s="5" t="str">
        <f aca="false">IF(ISNUMBER(VLOOKUP($A40,WBS_계획!$A:$O,7,FALSE())),IF(AND(H$5&gt;=VLOOKUP($A40,WBS_계획!$A:$O,7,FALSE()),H$5&lt;=VLOOKUP($A40,WBS_계획!$A:$O,8,FALSE())),IF(LEFT($A40,1)="M","◆","■"),""),"")</f>
        <v/>
      </c>
      <c r="I40" s="5" t="str">
        <f aca="false">IF(ISNUMBER(VLOOKUP($A40,WBS_계획!$A:$O,7,FALSE())),IF(AND(I$5&gt;=VLOOKUP($A40,WBS_계획!$A:$O,7,FALSE()),I$5&lt;=VLOOKUP($A40,WBS_계획!$A:$O,8,FALSE())),IF(LEFT($A40,1)="M","◆","■"),""),"")</f>
        <v/>
      </c>
      <c r="J40" s="5" t="str">
        <f aca="false">IF(ISNUMBER(VLOOKUP($A40,WBS_계획!$A:$O,7,FALSE())),IF(AND(J$5&gt;=VLOOKUP($A40,WBS_계획!$A:$O,7,FALSE()),J$5&lt;=VLOOKUP($A40,WBS_계획!$A:$O,8,FALSE())),IF(LEFT($A40,1)="M","◆","■"),""),"")</f>
        <v/>
      </c>
      <c r="K40" s="5" t="str">
        <f aca="false">IF(ISNUMBER(VLOOKUP($A40,WBS_계획!$A:$O,7,FALSE())),IF(AND(K$5&gt;=VLOOKUP($A40,WBS_계획!$A:$O,7,FALSE()),K$5&lt;=VLOOKUP($A40,WBS_계획!$A:$O,8,FALSE())),IF(LEFT($A40,1)="M","◆","■"),""),"")</f>
        <v/>
      </c>
      <c r="L40" s="5" t="str">
        <f aca="false">IF(ISNUMBER(VLOOKUP($A40,WBS_계획!$A:$O,7,FALSE())),IF(AND(L$5&gt;=VLOOKUP($A40,WBS_계획!$A:$O,7,FALSE()),L$5&lt;=VLOOKUP($A40,WBS_계획!$A:$O,8,FALSE())),IF(LEFT($A40,1)="M","◆","■"),""),"")</f>
        <v>■</v>
      </c>
      <c r="M40" s="5" t="str">
        <f aca="false">IF(ISNUMBER(VLOOKUP($A40,WBS_계획!$A:$O,7,FALSE())),IF(AND(M$5&gt;=VLOOKUP($A40,WBS_계획!$A:$O,7,FALSE()),M$5&lt;=VLOOKUP($A40,WBS_계획!$A:$O,8,FALSE())),IF(LEFT($A40,1)="M","◆","■"),""),"")</f>
        <v/>
      </c>
    </row>
    <row r="41" customFormat="false" ht="27.75" hidden="false" customHeight="true" outlineLevel="0" collapsed="false">
      <c r="A41" s="5" t="s">
        <v>217</v>
      </c>
      <c r="B41" s="7" t="str">
        <f aca="false">VLOOKUP($A41,WBS_계획!$A:$O,4,FALSE())</f>
        <v>공통 TC (TC-01, 16~18, 20~23): fps, 재현성, 전환 시간</v>
      </c>
      <c r="C41" s="5" t="str">
        <f aca="false">VLOOKUP($A41,WBS_계획!$A:$O,6,FALSE())</f>
        <v>공동</v>
      </c>
      <c r="D41" s="8" t="str">
        <f aca="false">VLOOKUP($A41,WBS_계획!$A:$O,12,FALSE())</f>
        <v>미착수</v>
      </c>
      <c r="E41" s="5" t="str">
        <f aca="false">IF(ISNUMBER(VLOOKUP($A41,WBS_계획!$A:$O,7,FALSE())),IF(AND(E$5&gt;=VLOOKUP($A41,WBS_계획!$A:$O,7,FALSE()),E$5&lt;=VLOOKUP($A41,WBS_계획!$A:$O,8,FALSE())),IF(LEFT($A41,1)="M","◆","■"),""),"")</f>
        <v/>
      </c>
      <c r="F41" s="5" t="str">
        <f aca="false">IF(ISNUMBER(VLOOKUP($A41,WBS_계획!$A:$O,7,FALSE())),IF(AND(F$5&gt;=VLOOKUP($A41,WBS_계획!$A:$O,7,FALSE()),F$5&lt;=VLOOKUP($A41,WBS_계획!$A:$O,8,FALSE())),IF(LEFT($A41,1)="M","◆","■"),""),"")</f>
        <v/>
      </c>
      <c r="G41" s="5" t="str">
        <f aca="false">IF(ISNUMBER(VLOOKUP($A41,WBS_계획!$A:$O,7,FALSE())),IF(AND(G$5&gt;=VLOOKUP($A41,WBS_계획!$A:$O,7,FALSE()),G$5&lt;=VLOOKUP($A41,WBS_계획!$A:$O,8,FALSE())),IF(LEFT($A41,1)="M","◆","■"),""),"")</f>
        <v/>
      </c>
      <c r="H41" s="5" t="str">
        <f aca="false">IF(ISNUMBER(VLOOKUP($A41,WBS_계획!$A:$O,7,FALSE())),IF(AND(H$5&gt;=VLOOKUP($A41,WBS_계획!$A:$O,7,FALSE()),H$5&lt;=VLOOKUP($A41,WBS_계획!$A:$O,8,FALSE())),IF(LEFT($A41,1)="M","◆","■"),""),"")</f>
        <v/>
      </c>
      <c r="I41" s="5" t="str">
        <f aca="false">IF(ISNUMBER(VLOOKUP($A41,WBS_계획!$A:$O,7,FALSE())),IF(AND(I$5&gt;=VLOOKUP($A41,WBS_계획!$A:$O,7,FALSE()),I$5&lt;=VLOOKUP($A41,WBS_계획!$A:$O,8,FALSE())),IF(LEFT($A41,1)="M","◆","■"),""),"")</f>
        <v/>
      </c>
      <c r="J41" s="5" t="str">
        <f aca="false">IF(ISNUMBER(VLOOKUP($A41,WBS_계획!$A:$O,7,FALSE())),IF(AND(J$5&gt;=VLOOKUP($A41,WBS_계획!$A:$O,7,FALSE()),J$5&lt;=VLOOKUP($A41,WBS_계획!$A:$O,8,FALSE())),IF(LEFT($A41,1)="M","◆","■"),""),"")</f>
        <v/>
      </c>
      <c r="K41" s="5" t="str">
        <f aca="false">IF(ISNUMBER(VLOOKUP($A41,WBS_계획!$A:$O,7,FALSE())),IF(AND(K$5&gt;=VLOOKUP($A41,WBS_계획!$A:$O,7,FALSE()),K$5&lt;=VLOOKUP($A41,WBS_계획!$A:$O,8,FALSE())),IF(LEFT($A41,1)="M","◆","■"),""),"")</f>
        <v/>
      </c>
      <c r="L41" s="5" t="str">
        <f aca="false">IF(ISNUMBER(VLOOKUP($A41,WBS_계획!$A:$O,7,FALSE())),IF(AND(L$5&gt;=VLOOKUP($A41,WBS_계획!$A:$O,7,FALSE()),L$5&lt;=VLOOKUP($A41,WBS_계획!$A:$O,8,FALSE())),IF(LEFT($A41,1)="M","◆","■"),""),"")</f>
        <v>■</v>
      </c>
      <c r="M41" s="5" t="str">
        <f aca="false">IF(ISNUMBER(VLOOKUP($A41,WBS_계획!$A:$O,7,FALSE())),IF(AND(M$5&gt;=VLOOKUP($A41,WBS_계획!$A:$O,7,FALSE()),M$5&lt;=VLOOKUP($A41,WBS_계획!$A:$O,8,FALSE())),IF(LEFT($A41,1)="M","◆","■"),""),"")</f>
        <v/>
      </c>
    </row>
    <row r="42" customFormat="false" ht="27.75" hidden="false" customHeight="true" outlineLevel="0" collapsed="false">
      <c r="A42" s="5" t="s">
        <v>222</v>
      </c>
      <c r="B42" s="7" t="str">
        <f aca="false">VLOOKUP($A42,WBS_계획!$A:$O,4,FALSE())</f>
        <v>버그 수정</v>
      </c>
      <c r="C42" s="5" t="str">
        <f aca="false">VLOOKUP($A42,WBS_계획!$A:$O,6,FALSE())</f>
        <v>공동</v>
      </c>
      <c r="D42" s="8" t="str">
        <f aca="false">VLOOKUP($A42,WBS_계획!$A:$O,12,FALSE())</f>
        <v>미착수</v>
      </c>
      <c r="E42" s="5" t="str">
        <f aca="false">IF(ISNUMBER(VLOOKUP($A42,WBS_계획!$A:$O,7,FALSE())),IF(AND(E$5&gt;=VLOOKUP($A42,WBS_계획!$A:$O,7,FALSE()),E$5&lt;=VLOOKUP($A42,WBS_계획!$A:$O,8,FALSE())),IF(LEFT($A42,1)="M","◆","■"),""),"")</f>
        <v/>
      </c>
      <c r="F42" s="5" t="str">
        <f aca="false">IF(ISNUMBER(VLOOKUP($A42,WBS_계획!$A:$O,7,FALSE())),IF(AND(F$5&gt;=VLOOKUP($A42,WBS_계획!$A:$O,7,FALSE()),F$5&lt;=VLOOKUP($A42,WBS_계획!$A:$O,8,FALSE())),IF(LEFT($A42,1)="M","◆","■"),""),"")</f>
        <v/>
      </c>
      <c r="G42" s="5" t="str">
        <f aca="false">IF(ISNUMBER(VLOOKUP($A42,WBS_계획!$A:$O,7,FALSE())),IF(AND(G$5&gt;=VLOOKUP($A42,WBS_계획!$A:$O,7,FALSE()),G$5&lt;=VLOOKUP($A42,WBS_계획!$A:$O,8,FALSE())),IF(LEFT($A42,1)="M","◆","■"),""),"")</f>
        <v/>
      </c>
      <c r="H42" s="5" t="str">
        <f aca="false">IF(ISNUMBER(VLOOKUP($A42,WBS_계획!$A:$O,7,FALSE())),IF(AND(H$5&gt;=VLOOKUP($A42,WBS_계획!$A:$O,7,FALSE()),H$5&lt;=VLOOKUP($A42,WBS_계획!$A:$O,8,FALSE())),IF(LEFT($A42,1)="M","◆","■"),""),"")</f>
        <v/>
      </c>
      <c r="I42" s="5" t="str">
        <f aca="false">IF(ISNUMBER(VLOOKUP($A42,WBS_계획!$A:$O,7,FALSE())),IF(AND(I$5&gt;=VLOOKUP($A42,WBS_계획!$A:$O,7,FALSE()),I$5&lt;=VLOOKUP($A42,WBS_계획!$A:$O,8,FALSE())),IF(LEFT($A42,1)="M","◆","■"),""),"")</f>
        <v/>
      </c>
      <c r="J42" s="5" t="str">
        <f aca="false">IF(ISNUMBER(VLOOKUP($A42,WBS_계획!$A:$O,7,FALSE())),IF(AND(J$5&gt;=VLOOKUP($A42,WBS_계획!$A:$O,7,FALSE()),J$5&lt;=VLOOKUP($A42,WBS_계획!$A:$O,8,FALSE())),IF(LEFT($A42,1)="M","◆","■"),""),"")</f>
        <v/>
      </c>
      <c r="K42" s="5" t="str">
        <f aca="false">IF(ISNUMBER(VLOOKUP($A42,WBS_계획!$A:$O,7,FALSE())),IF(AND(K$5&gt;=VLOOKUP($A42,WBS_계획!$A:$O,7,FALSE()),K$5&lt;=VLOOKUP($A42,WBS_계획!$A:$O,8,FALSE())),IF(LEFT($A42,1)="M","◆","■"),""),"")</f>
        <v/>
      </c>
      <c r="L42" s="5" t="str">
        <f aca="false">IF(ISNUMBER(VLOOKUP($A42,WBS_계획!$A:$O,7,FALSE())),IF(AND(L$5&gt;=VLOOKUP($A42,WBS_계획!$A:$O,7,FALSE()),L$5&lt;=VLOOKUP($A42,WBS_계획!$A:$O,8,FALSE())),IF(LEFT($A42,1)="M","◆","■"),""),"")</f>
        <v>■</v>
      </c>
      <c r="M42" s="5" t="str">
        <f aca="false">IF(ISNUMBER(VLOOKUP($A42,WBS_계획!$A:$O,7,FALSE())),IF(AND(M$5&gt;=VLOOKUP($A42,WBS_계획!$A:$O,7,FALSE()),M$5&lt;=VLOOKUP($A42,WBS_계획!$A:$O,8,FALSE())),IF(LEFT($A42,1)="M","◆","■"),""),"")</f>
        <v/>
      </c>
    </row>
    <row r="43" customFormat="false" ht="27.75" hidden="false" customHeight="true" outlineLevel="0" collapsed="false">
      <c r="A43" s="5" t="s">
        <v>226</v>
      </c>
      <c r="B43" s="7" t="str">
        <f aca="false">VLOOKUP($A43,WBS_계획!$A:$O,4,FALSE())</f>
        <v>Windows 최종 빌드, 시연 PC 확인</v>
      </c>
      <c r="C43" s="5" t="str">
        <f aca="false">VLOOKUP($A43,WBS_계획!$A:$O,6,FALSE())</f>
        <v>김예은</v>
      </c>
      <c r="D43" s="8" t="str">
        <f aca="false">VLOOKUP($A43,WBS_계획!$A:$O,12,FALSE())</f>
        <v>미착수</v>
      </c>
      <c r="E43" s="5" t="str">
        <f aca="false">IF(ISNUMBER(VLOOKUP($A43,WBS_계획!$A:$O,7,FALSE())),IF(AND(E$5&gt;=VLOOKUP($A43,WBS_계획!$A:$O,7,FALSE()),E$5&lt;=VLOOKUP($A43,WBS_계획!$A:$O,8,FALSE())),IF(LEFT($A43,1)="M","◆","■"),""),"")</f>
        <v/>
      </c>
      <c r="F43" s="5" t="str">
        <f aca="false">IF(ISNUMBER(VLOOKUP($A43,WBS_계획!$A:$O,7,FALSE())),IF(AND(F$5&gt;=VLOOKUP($A43,WBS_계획!$A:$O,7,FALSE()),F$5&lt;=VLOOKUP($A43,WBS_계획!$A:$O,8,FALSE())),IF(LEFT($A43,1)="M","◆","■"),""),"")</f>
        <v/>
      </c>
      <c r="G43" s="5" t="str">
        <f aca="false">IF(ISNUMBER(VLOOKUP($A43,WBS_계획!$A:$O,7,FALSE())),IF(AND(G$5&gt;=VLOOKUP($A43,WBS_계획!$A:$O,7,FALSE()),G$5&lt;=VLOOKUP($A43,WBS_계획!$A:$O,8,FALSE())),IF(LEFT($A43,1)="M","◆","■"),""),"")</f>
        <v/>
      </c>
      <c r="H43" s="5" t="str">
        <f aca="false">IF(ISNUMBER(VLOOKUP($A43,WBS_계획!$A:$O,7,FALSE())),IF(AND(H$5&gt;=VLOOKUP($A43,WBS_계획!$A:$O,7,FALSE()),H$5&lt;=VLOOKUP($A43,WBS_계획!$A:$O,8,FALSE())),IF(LEFT($A43,1)="M","◆","■"),""),"")</f>
        <v/>
      </c>
      <c r="I43" s="5" t="str">
        <f aca="false">IF(ISNUMBER(VLOOKUP($A43,WBS_계획!$A:$O,7,FALSE())),IF(AND(I$5&gt;=VLOOKUP($A43,WBS_계획!$A:$O,7,FALSE()),I$5&lt;=VLOOKUP($A43,WBS_계획!$A:$O,8,FALSE())),IF(LEFT($A43,1)="M","◆","■"),""),"")</f>
        <v/>
      </c>
      <c r="J43" s="5" t="str">
        <f aca="false">IF(ISNUMBER(VLOOKUP($A43,WBS_계획!$A:$O,7,FALSE())),IF(AND(J$5&gt;=VLOOKUP($A43,WBS_계획!$A:$O,7,FALSE()),J$5&lt;=VLOOKUP($A43,WBS_계획!$A:$O,8,FALSE())),IF(LEFT($A43,1)="M","◆","■"),""),"")</f>
        <v/>
      </c>
      <c r="K43" s="5" t="str">
        <f aca="false">IF(ISNUMBER(VLOOKUP($A43,WBS_계획!$A:$O,7,FALSE())),IF(AND(K$5&gt;=VLOOKUP($A43,WBS_계획!$A:$O,7,FALSE()),K$5&lt;=VLOOKUP($A43,WBS_계획!$A:$O,8,FALSE())),IF(LEFT($A43,1)="M","◆","■"),""),"")</f>
        <v/>
      </c>
      <c r="L43" s="5" t="str">
        <f aca="false">IF(ISNUMBER(VLOOKUP($A43,WBS_계획!$A:$O,7,FALSE())),IF(AND(L$5&gt;=VLOOKUP($A43,WBS_계획!$A:$O,7,FALSE()),L$5&lt;=VLOOKUP($A43,WBS_계획!$A:$O,8,FALSE())),IF(LEFT($A43,1)="M","◆","■"),""),"")</f>
        <v>■</v>
      </c>
      <c r="M43" s="5" t="str">
        <f aca="false">IF(ISNUMBER(VLOOKUP($A43,WBS_계획!$A:$O,7,FALSE())),IF(AND(M$5&gt;=VLOOKUP($A43,WBS_계획!$A:$O,7,FALSE()),M$5&lt;=VLOOKUP($A43,WBS_계획!$A:$O,8,FALSE())),IF(LEFT($A43,1)="M","◆","■"),""),"")</f>
        <v/>
      </c>
    </row>
    <row r="44" customFormat="false" ht="27.75" hidden="false" customHeight="true" outlineLevel="0" collapsed="false">
      <c r="A44" s="5" t="s">
        <v>231</v>
      </c>
      <c r="B44" s="7" t="str">
        <f aca="false">VLOOKUP($A44,WBS_계획!$A:$O,4,FALSE())</f>
        <v>시연 영상 녹화 (주행·주차, 운전석·버드뷰)</v>
      </c>
      <c r="C44" s="5" t="str">
        <f aca="false">VLOOKUP($A44,WBS_계획!$A:$O,6,FALSE())</f>
        <v>공동</v>
      </c>
      <c r="D44" s="8" t="str">
        <f aca="false">VLOOKUP($A44,WBS_계획!$A:$O,12,FALSE())</f>
        <v>미착수</v>
      </c>
      <c r="E44" s="5" t="str">
        <f aca="false">IF(ISNUMBER(VLOOKUP($A44,WBS_계획!$A:$O,7,FALSE())),IF(AND(E$5&gt;=VLOOKUP($A44,WBS_계획!$A:$O,7,FALSE()),E$5&lt;=VLOOKUP($A44,WBS_계획!$A:$O,8,FALSE())),IF(LEFT($A44,1)="M","◆","■"),""),"")</f>
        <v/>
      </c>
      <c r="F44" s="5" t="str">
        <f aca="false">IF(ISNUMBER(VLOOKUP($A44,WBS_계획!$A:$O,7,FALSE())),IF(AND(F$5&gt;=VLOOKUP($A44,WBS_계획!$A:$O,7,FALSE()),F$5&lt;=VLOOKUP($A44,WBS_계획!$A:$O,8,FALSE())),IF(LEFT($A44,1)="M","◆","■"),""),"")</f>
        <v/>
      </c>
      <c r="G44" s="5" t="str">
        <f aca="false">IF(ISNUMBER(VLOOKUP($A44,WBS_계획!$A:$O,7,FALSE())),IF(AND(G$5&gt;=VLOOKUP($A44,WBS_계획!$A:$O,7,FALSE()),G$5&lt;=VLOOKUP($A44,WBS_계획!$A:$O,8,FALSE())),IF(LEFT($A44,1)="M","◆","■"),""),"")</f>
        <v/>
      </c>
      <c r="H44" s="5" t="str">
        <f aca="false">IF(ISNUMBER(VLOOKUP($A44,WBS_계획!$A:$O,7,FALSE())),IF(AND(H$5&gt;=VLOOKUP($A44,WBS_계획!$A:$O,7,FALSE()),H$5&lt;=VLOOKUP($A44,WBS_계획!$A:$O,8,FALSE())),IF(LEFT($A44,1)="M","◆","■"),""),"")</f>
        <v/>
      </c>
      <c r="I44" s="5" t="str">
        <f aca="false">IF(ISNUMBER(VLOOKUP($A44,WBS_계획!$A:$O,7,FALSE())),IF(AND(I$5&gt;=VLOOKUP($A44,WBS_계획!$A:$O,7,FALSE()),I$5&lt;=VLOOKUP($A44,WBS_계획!$A:$O,8,FALSE())),IF(LEFT($A44,1)="M","◆","■"),""),"")</f>
        <v/>
      </c>
      <c r="J44" s="5" t="str">
        <f aca="false">IF(ISNUMBER(VLOOKUP($A44,WBS_계획!$A:$O,7,FALSE())),IF(AND(J$5&gt;=VLOOKUP($A44,WBS_계획!$A:$O,7,FALSE()),J$5&lt;=VLOOKUP($A44,WBS_계획!$A:$O,8,FALSE())),IF(LEFT($A44,1)="M","◆","■"),""),"")</f>
        <v/>
      </c>
      <c r="K44" s="5" t="str">
        <f aca="false">IF(ISNUMBER(VLOOKUP($A44,WBS_계획!$A:$O,7,FALSE())),IF(AND(K$5&gt;=VLOOKUP($A44,WBS_계획!$A:$O,7,FALSE()),K$5&lt;=VLOOKUP($A44,WBS_계획!$A:$O,8,FALSE())),IF(LEFT($A44,1)="M","◆","■"),""),"")</f>
        <v/>
      </c>
      <c r="L44" s="5" t="str">
        <f aca="false">IF(ISNUMBER(VLOOKUP($A44,WBS_계획!$A:$O,7,FALSE())),IF(AND(L$5&gt;=VLOOKUP($A44,WBS_계획!$A:$O,7,FALSE()),L$5&lt;=VLOOKUP($A44,WBS_계획!$A:$O,8,FALSE())),IF(LEFT($A44,1)="M","◆","■"),""),"")</f>
        <v>■</v>
      </c>
      <c r="M44" s="5" t="str">
        <f aca="false">IF(ISNUMBER(VLOOKUP($A44,WBS_계획!$A:$O,7,FALSE())),IF(AND(M$5&gt;=VLOOKUP($A44,WBS_계획!$A:$O,7,FALSE()),M$5&lt;=VLOOKUP($A44,WBS_계획!$A:$O,8,FALSE())),IF(LEFT($A44,1)="M","◆","■"),""),"")</f>
        <v/>
      </c>
    </row>
    <row r="45" customFormat="false" ht="27.75" hidden="false" customHeight="true" outlineLevel="0" collapsed="false">
      <c r="A45" s="5" t="s">
        <v>237</v>
      </c>
      <c r="B45" s="7" t="str">
        <f aca="false">VLOOKUP($A45,WBS_계획!$A:$O,4,FALSE())</f>
        <v>발표 자료 작성</v>
      </c>
      <c r="C45" s="5" t="str">
        <f aca="false">VLOOKUP($A45,WBS_계획!$A:$O,6,FALSE())</f>
        <v>공동</v>
      </c>
      <c r="D45" s="8" t="str">
        <f aca="false">VLOOKUP($A45,WBS_계획!$A:$O,12,FALSE())</f>
        <v>미착수</v>
      </c>
      <c r="E45" s="5" t="str">
        <f aca="false">IF(ISNUMBER(VLOOKUP($A45,WBS_계획!$A:$O,7,FALSE())),IF(AND(E$5&gt;=VLOOKUP($A45,WBS_계획!$A:$O,7,FALSE()),E$5&lt;=VLOOKUP($A45,WBS_계획!$A:$O,8,FALSE())),IF(LEFT($A45,1)="M","◆","■"),""),"")</f>
        <v/>
      </c>
      <c r="F45" s="5" t="str">
        <f aca="false">IF(ISNUMBER(VLOOKUP($A45,WBS_계획!$A:$O,7,FALSE())),IF(AND(F$5&gt;=VLOOKUP($A45,WBS_계획!$A:$O,7,FALSE()),F$5&lt;=VLOOKUP($A45,WBS_계획!$A:$O,8,FALSE())),IF(LEFT($A45,1)="M","◆","■"),""),"")</f>
        <v/>
      </c>
      <c r="G45" s="5" t="str">
        <f aca="false">IF(ISNUMBER(VLOOKUP($A45,WBS_계획!$A:$O,7,FALSE())),IF(AND(G$5&gt;=VLOOKUP($A45,WBS_계획!$A:$O,7,FALSE()),G$5&lt;=VLOOKUP($A45,WBS_계획!$A:$O,8,FALSE())),IF(LEFT($A45,1)="M","◆","■"),""),"")</f>
        <v/>
      </c>
      <c r="H45" s="5" t="str">
        <f aca="false">IF(ISNUMBER(VLOOKUP($A45,WBS_계획!$A:$O,7,FALSE())),IF(AND(H$5&gt;=VLOOKUP($A45,WBS_계획!$A:$O,7,FALSE()),H$5&lt;=VLOOKUP($A45,WBS_계획!$A:$O,8,FALSE())),IF(LEFT($A45,1)="M","◆","■"),""),"")</f>
        <v/>
      </c>
      <c r="I45" s="5" t="str">
        <f aca="false">IF(ISNUMBER(VLOOKUP($A45,WBS_계획!$A:$O,7,FALSE())),IF(AND(I$5&gt;=VLOOKUP($A45,WBS_계획!$A:$O,7,FALSE()),I$5&lt;=VLOOKUP($A45,WBS_계획!$A:$O,8,FALSE())),IF(LEFT($A45,1)="M","◆","■"),""),"")</f>
        <v/>
      </c>
      <c r="J45" s="5" t="str">
        <f aca="false">IF(ISNUMBER(VLOOKUP($A45,WBS_계획!$A:$O,7,FALSE())),IF(AND(J$5&gt;=VLOOKUP($A45,WBS_계획!$A:$O,7,FALSE()),J$5&lt;=VLOOKUP($A45,WBS_계획!$A:$O,8,FALSE())),IF(LEFT($A45,1)="M","◆","■"),""),"")</f>
        <v/>
      </c>
      <c r="K45" s="5" t="str">
        <f aca="false">IF(ISNUMBER(VLOOKUP($A45,WBS_계획!$A:$O,7,FALSE())),IF(AND(K$5&gt;=VLOOKUP($A45,WBS_계획!$A:$O,7,FALSE()),K$5&lt;=VLOOKUP($A45,WBS_계획!$A:$O,8,FALSE())),IF(LEFT($A45,1)="M","◆","■"),""),"")</f>
        <v/>
      </c>
      <c r="L45" s="5" t="str">
        <f aca="false">IF(ISNUMBER(VLOOKUP($A45,WBS_계획!$A:$O,7,FALSE())),IF(AND(L$5&gt;=VLOOKUP($A45,WBS_계획!$A:$O,7,FALSE()),L$5&lt;=VLOOKUP($A45,WBS_계획!$A:$O,8,FALSE())),IF(LEFT($A45,1)="M","◆","■"),""),"")</f>
        <v>■</v>
      </c>
      <c r="M45" s="5" t="str">
        <f aca="false">IF(ISNUMBER(VLOOKUP($A45,WBS_계획!$A:$O,7,FALSE())),IF(AND(M$5&gt;=VLOOKUP($A45,WBS_계획!$A:$O,7,FALSE()),M$5&lt;=VLOOKUP($A45,WBS_계획!$A:$O,8,FALSE())),IF(LEFT($A45,1)="M","◆","■"),""),"")</f>
        <v>■</v>
      </c>
    </row>
    <row r="46" customFormat="false" ht="27.75" hidden="false" customHeight="true" outlineLevel="0" collapsed="false">
      <c r="A46" s="5" t="s">
        <v>243</v>
      </c>
      <c r="B46" s="7" t="str">
        <f aca="false">VLOOKUP($A46,WBS_계획!$A:$O,4,FALSE())</f>
        <v>README·SRS 최종화, 스크린샷·GIF</v>
      </c>
      <c r="C46" s="5" t="str">
        <f aca="false">VLOOKUP($A46,WBS_계획!$A:$O,6,FALSE())</f>
        <v>김예은</v>
      </c>
      <c r="D46" s="8" t="str">
        <f aca="false">VLOOKUP($A46,WBS_계획!$A:$O,12,FALSE())</f>
        <v>미착수</v>
      </c>
      <c r="E46" s="5" t="str">
        <f aca="false">IF(ISNUMBER(VLOOKUP($A46,WBS_계획!$A:$O,7,FALSE())),IF(AND(E$5&gt;=VLOOKUP($A46,WBS_계획!$A:$O,7,FALSE()),E$5&lt;=VLOOKUP($A46,WBS_계획!$A:$O,8,FALSE())),IF(LEFT($A46,1)="M","◆","■"),""),"")</f>
        <v/>
      </c>
      <c r="F46" s="5" t="str">
        <f aca="false">IF(ISNUMBER(VLOOKUP($A46,WBS_계획!$A:$O,7,FALSE())),IF(AND(F$5&gt;=VLOOKUP($A46,WBS_계획!$A:$O,7,FALSE()),F$5&lt;=VLOOKUP($A46,WBS_계획!$A:$O,8,FALSE())),IF(LEFT($A46,1)="M","◆","■"),""),"")</f>
        <v/>
      </c>
      <c r="G46" s="5" t="str">
        <f aca="false">IF(ISNUMBER(VLOOKUP($A46,WBS_계획!$A:$O,7,FALSE())),IF(AND(G$5&gt;=VLOOKUP($A46,WBS_계획!$A:$O,7,FALSE()),G$5&lt;=VLOOKUP($A46,WBS_계획!$A:$O,8,FALSE())),IF(LEFT($A46,1)="M","◆","■"),""),"")</f>
        <v/>
      </c>
      <c r="H46" s="5" t="str">
        <f aca="false">IF(ISNUMBER(VLOOKUP($A46,WBS_계획!$A:$O,7,FALSE())),IF(AND(H$5&gt;=VLOOKUP($A46,WBS_계획!$A:$O,7,FALSE()),H$5&lt;=VLOOKUP($A46,WBS_계획!$A:$O,8,FALSE())),IF(LEFT($A46,1)="M","◆","■"),""),"")</f>
        <v/>
      </c>
      <c r="I46" s="5" t="str">
        <f aca="false">IF(ISNUMBER(VLOOKUP($A46,WBS_계획!$A:$O,7,FALSE())),IF(AND(I$5&gt;=VLOOKUP($A46,WBS_계획!$A:$O,7,FALSE()),I$5&lt;=VLOOKUP($A46,WBS_계획!$A:$O,8,FALSE())),IF(LEFT($A46,1)="M","◆","■"),""),"")</f>
        <v/>
      </c>
      <c r="J46" s="5" t="str">
        <f aca="false">IF(ISNUMBER(VLOOKUP($A46,WBS_계획!$A:$O,7,FALSE())),IF(AND(J$5&gt;=VLOOKUP($A46,WBS_계획!$A:$O,7,FALSE()),J$5&lt;=VLOOKUP($A46,WBS_계획!$A:$O,8,FALSE())),IF(LEFT($A46,1)="M","◆","■"),""),"")</f>
        <v/>
      </c>
      <c r="K46" s="5" t="str">
        <f aca="false">IF(ISNUMBER(VLOOKUP($A46,WBS_계획!$A:$O,7,FALSE())),IF(AND(K$5&gt;=VLOOKUP($A46,WBS_계획!$A:$O,7,FALSE()),K$5&lt;=VLOOKUP($A46,WBS_계획!$A:$O,8,FALSE())),IF(LEFT($A46,1)="M","◆","■"),""),"")</f>
        <v/>
      </c>
      <c r="L46" s="5" t="str">
        <f aca="false">IF(ISNUMBER(VLOOKUP($A46,WBS_계획!$A:$O,7,FALSE())),IF(AND(L$5&gt;=VLOOKUP($A46,WBS_계획!$A:$O,7,FALSE()),L$5&lt;=VLOOKUP($A46,WBS_계획!$A:$O,8,FALSE())),IF(LEFT($A46,1)="M","◆","■"),""),"")</f>
        <v/>
      </c>
      <c r="M46" s="5" t="str">
        <f aca="false">IF(ISNUMBER(VLOOKUP($A46,WBS_계획!$A:$O,7,FALSE())),IF(AND(M$5&gt;=VLOOKUP($A46,WBS_계획!$A:$O,7,FALSE()),M$5&lt;=VLOOKUP($A46,WBS_계획!$A:$O,8,FALSE())),IF(LEFT($A46,1)="M","◆","■"),""),"")</f>
        <v>■</v>
      </c>
    </row>
    <row r="47" customFormat="false" ht="27.75" hidden="false" customHeight="true" outlineLevel="0" collapsed="false">
      <c r="A47" s="5" t="s">
        <v>248</v>
      </c>
      <c r="B47" s="7" t="str">
        <f aca="false">VLOOKUP($A47,WBS_계획!$A:$O,4,FALSE())</f>
        <v>리허설, 제출</v>
      </c>
      <c r="C47" s="5" t="str">
        <f aca="false">VLOOKUP($A47,WBS_계획!$A:$O,6,FALSE())</f>
        <v>공동</v>
      </c>
      <c r="D47" s="8" t="str">
        <f aca="false">VLOOKUP($A47,WBS_계획!$A:$O,12,FALSE())</f>
        <v>미착수</v>
      </c>
      <c r="E47" s="5" t="str">
        <f aca="false">IF(ISNUMBER(VLOOKUP($A47,WBS_계획!$A:$O,7,FALSE())),IF(AND(E$5&gt;=VLOOKUP($A47,WBS_계획!$A:$O,7,FALSE()),E$5&lt;=VLOOKUP($A47,WBS_계획!$A:$O,8,FALSE())),IF(LEFT($A47,1)="M","◆","■"),""),"")</f>
        <v/>
      </c>
      <c r="F47" s="5" t="str">
        <f aca="false">IF(ISNUMBER(VLOOKUP($A47,WBS_계획!$A:$O,7,FALSE())),IF(AND(F$5&gt;=VLOOKUP($A47,WBS_계획!$A:$O,7,FALSE()),F$5&lt;=VLOOKUP($A47,WBS_계획!$A:$O,8,FALSE())),IF(LEFT($A47,1)="M","◆","■"),""),"")</f>
        <v/>
      </c>
      <c r="G47" s="5" t="str">
        <f aca="false">IF(ISNUMBER(VLOOKUP($A47,WBS_계획!$A:$O,7,FALSE())),IF(AND(G$5&gt;=VLOOKUP($A47,WBS_계획!$A:$O,7,FALSE()),G$5&lt;=VLOOKUP($A47,WBS_계획!$A:$O,8,FALSE())),IF(LEFT($A47,1)="M","◆","■"),""),"")</f>
        <v/>
      </c>
      <c r="H47" s="5" t="str">
        <f aca="false">IF(ISNUMBER(VLOOKUP($A47,WBS_계획!$A:$O,7,FALSE())),IF(AND(H$5&gt;=VLOOKUP($A47,WBS_계획!$A:$O,7,FALSE()),H$5&lt;=VLOOKUP($A47,WBS_계획!$A:$O,8,FALSE())),IF(LEFT($A47,1)="M","◆","■"),""),"")</f>
        <v/>
      </c>
      <c r="I47" s="5" t="str">
        <f aca="false">IF(ISNUMBER(VLOOKUP($A47,WBS_계획!$A:$O,7,FALSE())),IF(AND(I$5&gt;=VLOOKUP($A47,WBS_계획!$A:$O,7,FALSE()),I$5&lt;=VLOOKUP($A47,WBS_계획!$A:$O,8,FALSE())),IF(LEFT($A47,1)="M","◆","■"),""),"")</f>
        <v/>
      </c>
      <c r="J47" s="5" t="str">
        <f aca="false">IF(ISNUMBER(VLOOKUP($A47,WBS_계획!$A:$O,7,FALSE())),IF(AND(J$5&gt;=VLOOKUP($A47,WBS_계획!$A:$O,7,FALSE()),J$5&lt;=VLOOKUP($A47,WBS_계획!$A:$O,8,FALSE())),IF(LEFT($A47,1)="M","◆","■"),""),"")</f>
        <v/>
      </c>
      <c r="K47" s="5" t="str">
        <f aca="false">IF(ISNUMBER(VLOOKUP($A47,WBS_계획!$A:$O,7,FALSE())),IF(AND(K$5&gt;=VLOOKUP($A47,WBS_계획!$A:$O,7,FALSE()),K$5&lt;=VLOOKUP($A47,WBS_계획!$A:$O,8,FALSE())),IF(LEFT($A47,1)="M","◆","■"),""),"")</f>
        <v/>
      </c>
      <c r="L47" s="5" t="str">
        <f aca="false">IF(ISNUMBER(VLOOKUP($A47,WBS_계획!$A:$O,7,FALSE())),IF(AND(L$5&gt;=VLOOKUP($A47,WBS_계획!$A:$O,7,FALSE()),L$5&lt;=VLOOKUP($A47,WBS_계획!$A:$O,8,FALSE())),IF(LEFT($A47,1)="M","◆","■"),""),"")</f>
        <v/>
      </c>
      <c r="M47" s="5" t="str">
        <f aca="false">IF(ISNUMBER(VLOOKUP($A47,WBS_계획!$A:$O,7,FALSE())),IF(AND(M$5&gt;=VLOOKUP($A47,WBS_계획!$A:$O,7,FALSE()),M$5&lt;=VLOOKUP($A47,WBS_계획!$A:$O,8,FALSE())),IF(LEFT($A47,1)="M","◆","■"),""),"")</f>
        <v>■</v>
      </c>
    </row>
    <row r="48" customFormat="false" ht="27.75" hidden="false" customHeight="true" outlineLevel="0" collapsed="false">
      <c r="A48" s="5" t="s">
        <v>254</v>
      </c>
      <c r="B48" s="7" t="str">
        <f aca="false">VLOOKUP($A48,WBS_계획!$A:$O,4,FALSE())</f>
        <v>설계 확정</v>
      </c>
      <c r="C48" s="5" t="str">
        <f aca="false">VLOOKUP($A48,WBS_계획!$A:$O,6,FALSE())</f>
        <v>공동</v>
      </c>
      <c r="D48" s="8" t="str">
        <f aca="false">VLOOKUP($A48,WBS_계획!$A:$O,12,FALSE())</f>
        <v>미착수</v>
      </c>
      <c r="E48" s="5" t="str">
        <f aca="false">IF(ISNUMBER(VLOOKUP($A48,WBS_계획!$A:$O,7,FALSE())),IF(AND(E$5&gt;=VLOOKUP($A48,WBS_계획!$A:$O,7,FALSE()),E$5&lt;=VLOOKUP($A48,WBS_계획!$A:$O,8,FALSE())),IF(LEFT($A48,1)="M","◆","■"),""),"")</f>
        <v>◆</v>
      </c>
      <c r="F48" s="5" t="str">
        <f aca="false">IF(ISNUMBER(VLOOKUP($A48,WBS_계획!$A:$O,7,FALSE())),IF(AND(F$5&gt;=VLOOKUP($A48,WBS_계획!$A:$O,7,FALSE()),F$5&lt;=VLOOKUP($A48,WBS_계획!$A:$O,8,FALSE())),IF(LEFT($A48,1)="M","◆","■"),""),"")</f>
        <v/>
      </c>
      <c r="G48" s="5" t="str">
        <f aca="false">IF(ISNUMBER(VLOOKUP($A48,WBS_계획!$A:$O,7,FALSE())),IF(AND(G$5&gt;=VLOOKUP($A48,WBS_계획!$A:$O,7,FALSE()),G$5&lt;=VLOOKUP($A48,WBS_계획!$A:$O,8,FALSE())),IF(LEFT($A48,1)="M","◆","■"),""),"")</f>
        <v/>
      </c>
      <c r="H48" s="5" t="str">
        <f aca="false">IF(ISNUMBER(VLOOKUP($A48,WBS_계획!$A:$O,7,FALSE())),IF(AND(H$5&gt;=VLOOKUP($A48,WBS_계획!$A:$O,7,FALSE()),H$5&lt;=VLOOKUP($A48,WBS_계획!$A:$O,8,FALSE())),IF(LEFT($A48,1)="M","◆","■"),""),"")</f>
        <v/>
      </c>
      <c r="I48" s="5" t="str">
        <f aca="false">IF(ISNUMBER(VLOOKUP($A48,WBS_계획!$A:$O,7,FALSE())),IF(AND(I$5&gt;=VLOOKUP($A48,WBS_계획!$A:$O,7,FALSE()),I$5&lt;=VLOOKUP($A48,WBS_계획!$A:$O,8,FALSE())),IF(LEFT($A48,1)="M","◆","■"),""),"")</f>
        <v/>
      </c>
      <c r="J48" s="5" t="str">
        <f aca="false">IF(ISNUMBER(VLOOKUP($A48,WBS_계획!$A:$O,7,FALSE())),IF(AND(J$5&gt;=VLOOKUP($A48,WBS_계획!$A:$O,7,FALSE()),J$5&lt;=VLOOKUP($A48,WBS_계획!$A:$O,8,FALSE())),IF(LEFT($A48,1)="M","◆","■"),""),"")</f>
        <v/>
      </c>
      <c r="K48" s="5" t="str">
        <f aca="false">IF(ISNUMBER(VLOOKUP($A48,WBS_계획!$A:$O,7,FALSE())),IF(AND(K$5&gt;=VLOOKUP($A48,WBS_계획!$A:$O,7,FALSE()),K$5&lt;=VLOOKUP($A48,WBS_계획!$A:$O,8,FALSE())),IF(LEFT($A48,1)="M","◆","■"),""),"")</f>
        <v/>
      </c>
      <c r="L48" s="5" t="str">
        <f aca="false">IF(ISNUMBER(VLOOKUP($A48,WBS_계획!$A:$O,7,FALSE())),IF(AND(L$5&gt;=VLOOKUP($A48,WBS_계획!$A:$O,7,FALSE()),L$5&lt;=VLOOKUP($A48,WBS_계획!$A:$O,8,FALSE())),IF(LEFT($A48,1)="M","◆","■"),""),"")</f>
        <v/>
      </c>
      <c r="M48" s="5" t="str">
        <f aca="false">IF(ISNUMBER(VLOOKUP($A48,WBS_계획!$A:$O,7,FALSE())),IF(AND(M$5&gt;=VLOOKUP($A48,WBS_계획!$A:$O,7,FALSE()),M$5&lt;=VLOOKUP($A48,WBS_계획!$A:$O,8,FALSE())),IF(LEFT($A48,1)="M","◆","■"),""),"")</f>
        <v/>
      </c>
    </row>
    <row r="49" customFormat="false" ht="27.75" hidden="false" customHeight="true" outlineLevel="0" collapsed="false">
      <c r="A49" s="5" t="s">
        <v>97</v>
      </c>
      <c r="B49" s="7" t="str">
        <f aca="false">VLOOKUP($A49,WBS_계획!$A:$O,4,FALSE())</f>
        <v>공통 기반 완성</v>
      </c>
      <c r="C49" s="5" t="str">
        <f aca="false">VLOOKUP($A49,WBS_계획!$A:$O,6,FALSE())</f>
        <v>공동</v>
      </c>
      <c r="D49" s="8" t="str">
        <f aca="false">VLOOKUP($A49,WBS_계획!$A:$O,12,FALSE())</f>
        <v>미착수</v>
      </c>
      <c r="E49" s="5" t="str">
        <f aca="false">IF(ISNUMBER(VLOOKUP($A49,WBS_계획!$A:$O,7,FALSE())),IF(AND(E$5&gt;=VLOOKUP($A49,WBS_계획!$A:$O,7,FALSE()),E$5&lt;=VLOOKUP($A49,WBS_계획!$A:$O,8,FALSE())),IF(LEFT($A49,1)="M","◆","■"),""),"")</f>
        <v/>
      </c>
      <c r="F49" s="5" t="str">
        <f aca="false">IF(ISNUMBER(VLOOKUP($A49,WBS_계획!$A:$O,7,FALSE())),IF(AND(F$5&gt;=VLOOKUP($A49,WBS_계획!$A:$O,7,FALSE()),F$5&lt;=VLOOKUP($A49,WBS_계획!$A:$O,8,FALSE())),IF(LEFT($A49,1)="M","◆","■"),""),"")</f>
        <v>◆</v>
      </c>
      <c r="G49" s="5" t="str">
        <f aca="false">IF(ISNUMBER(VLOOKUP($A49,WBS_계획!$A:$O,7,FALSE())),IF(AND(G$5&gt;=VLOOKUP($A49,WBS_계획!$A:$O,7,FALSE()),G$5&lt;=VLOOKUP($A49,WBS_계획!$A:$O,8,FALSE())),IF(LEFT($A49,1)="M","◆","■"),""),"")</f>
        <v/>
      </c>
      <c r="H49" s="5" t="str">
        <f aca="false">IF(ISNUMBER(VLOOKUP($A49,WBS_계획!$A:$O,7,FALSE())),IF(AND(H$5&gt;=VLOOKUP($A49,WBS_계획!$A:$O,7,FALSE()),H$5&lt;=VLOOKUP($A49,WBS_계획!$A:$O,8,FALSE())),IF(LEFT($A49,1)="M","◆","■"),""),"")</f>
        <v/>
      </c>
      <c r="I49" s="5" t="str">
        <f aca="false">IF(ISNUMBER(VLOOKUP($A49,WBS_계획!$A:$O,7,FALSE())),IF(AND(I$5&gt;=VLOOKUP($A49,WBS_계획!$A:$O,7,FALSE()),I$5&lt;=VLOOKUP($A49,WBS_계획!$A:$O,8,FALSE())),IF(LEFT($A49,1)="M","◆","■"),""),"")</f>
        <v/>
      </c>
      <c r="J49" s="5" t="str">
        <f aca="false">IF(ISNUMBER(VLOOKUP($A49,WBS_계획!$A:$O,7,FALSE())),IF(AND(J$5&gt;=VLOOKUP($A49,WBS_계획!$A:$O,7,FALSE()),J$5&lt;=VLOOKUP($A49,WBS_계획!$A:$O,8,FALSE())),IF(LEFT($A49,1)="M","◆","■"),""),"")</f>
        <v/>
      </c>
      <c r="K49" s="5" t="str">
        <f aca="false">IF(ISNUMBER(VLOOKUP($A49,WBS_계획!$A:$O,7,FALSE())),IF(AND(K$5&gt;=VLOOKUP($A49,WBS_계획!$A:$O,7,FALSE()),K$5&lt;=VLOOKUP($A49,WBS_계획!$A:$O,8,FALSE())),IF(LEFT($A49,1)="M","◆","■"),""),"")</f>
        <v/>
      </c>
      <c r="L49" s="5" t="str">
        <f aca="false">IF(ISNUMBER(VLOOKUP($A49,WBS_계획!$A:$O,7,FALSE())),IF(AND(L$5&gt;=VLOOKUP($A49,WBS_계획!$A:$O,7,FALSE()),L$5&lt;=VLOOKUP($A49,WBS_계획!$A:$O,8,FALSE())),IF(LEFT($A49,1)="M","◆","■"),""),"")</f>
        <v/>
      </c>
      <c r="M49" s="5" t="str">
        <f aca="false">IF(ISNUMBER(VLOOKUP($A49,WBS_계획!$A:$O,7,FALSE())),IF(AND(M$5&gt;=VLOOKUP($A49,WBS_계획!$A:$O,7,FALSE()),M$5&lt;=VLOOKUP($A49,WBS_계획!$A:$O,8,FALSE())),IF(LEFT($A49,1)="M","◆","■"),""),"")</f>
        <v/>
      </c>
    </row>
    <row r="50" customFormat="false" ht="27.75" hidden="false" customHeight="true" outlineLevel="0" collapsed="false">
      <c r="A50" s="5" t="s">
        <v>260</v>
      </c>
      <c r="B50" s="7" t="str">
        <f aca="false">VLOOKUP($A50,WBS_계획!$A:$O,4,FALSE())</f>
        <v>첫 기능 시연</v>
      </c>
      <c r="C50" s="5" t="str">
        <f aca="false">VLOOKUP($A50,WBS_계획!$A:$O,6,FALSE())</f>
        <v>공동</v>
      </c>
      <c r="D50" s="8" t="str">
        <f aca="false">VLOOKUP($A50,WBS_계획!$A:$O,12,FALSE())</f>
        <v>미착수</v>
      </c>
      <c r="E50" s="5" t="str">
        <f aca="false">IF(ISNUMBER(VLOOKUP($A50,WBS_계획!$A:$O,7,FALSE())),IF(AND(E$5&gt;=VLOOKUP($A50,WBS_계획!$A:$O,7,FALSE()),E$5&lt;=VLOOKUP($A50,WBS_계획!$A:$O,8,FALSE())),IF(LEFT($A50,1)="M","◆","■"),""),"")</f>
        <v/>
      </c>
      <c r="F50" s="5" t="str">
        <f aca="false">IF(ISNUMBER(VLOOKUP($A50,WBS_계획!$A:$O,7,FALSE())),IF(AND(F$5&gt;=VLOOKUP($A50,WBS_계획!$A:$O,7,FALSE()),F$5&lt;=VLOOKUP($A50,WBS_계획!$A:$O,8,FALSE())),IF(LEFT($A50,1)="M","◆","■"),""),"")</f>
        <v/>
      </c>
      <c r="G50" s="5" t="str">
        <f aca="false">IF(ISNUMBER(VLOOKUP($A50,WBS_계획!$A:$O,7,FALSE())),IF(AND(G$5&gt;=VLOOKUP($A50,WBS_계획!$A:$O,7,FALSE()),G$5&lt;=VLOOKUP($A50,WBS_계획!$A:$O,8,FALSE())),IF(LEFT($A50,1)="M","◆","■"),""),"")</f>
        <v/>
      </c>
      <c r="H50" s="5" t="str">
        <f aca="false">IF(ISNUMBER(VLOOKUP($A50,WBS_계획!$A:$O,7,FALSE())),IF(AND(H$5&gt;=VLOOKUP($A50,WBS_계획!$A:$O,7,FALSE()),H$5&lt;=VLOOKUP($A50,WBS_계획!$A:$O,8,FALSE())),IF(LEFT($A50,1)="M","◆","■"),""),"")</f>
        <v>◆</v>
      </c>
      <c r="I50" s="5" t="str">
        <f aca="false">IF(ISNUMBER(VLOOKUP($A50,WBS_계획!$A:$O,7,FALSE())),IF(AND(I$5&gt;=VLOOKUP($A50,WBS_계획!$A:$O,7,FALSE()),I$5&lt;=VLOOKUP($A50,WBS_계획!$A:$O,8,FALSE())),IF(LEFT($A50,1)="M","◆","■"),""),"")</f>
        <v/>
      </c>
      <c r="J50" s="5" t="str">
        <f aca="false">IF(ISNUMBER(VLOOKUP($A50,WBS_계획!$A:$O,7,FALSE())),IF(AND(J$5&gt;=VLOOKUP($A50,WBS_계획!$A:$O,7,FALSE()),J$5&lt;=VLOOKUP($A50,WBS_계획!$A:$O,8,FALSE())),IF(LEFT($A50,1)="M","◆","■"),""),"")</f>
        <v/>
      </c>
      <c r="K50" s="5" t="str">
        <f aca="false">IF(ISNUMBER(VLOOKUP($A50,WBS_계획!$A:$O,7,FALSE())),IF(AND(K$5&gt;=VLOOKUP($A50,WBS_계획!$A:$O,7,FALSE()),K$5&lt;=VLOOKUP($A50,WBS_계획!$A:$O,8,FALSE())),IF(LEFT($A50,1)="M","◆","■"),""),"")</f>
        <v/>
      </c>
      <c r="L50" s="5" t="str">
        <f aca="false">IF(ISNUMBER(VLOOKUP($A50,WBS_계획!$A:$O,7,FALSE())),IF(AND(L$5&gt;=VLOOKUP($A50,WBS_계획!$A:$O,7,FALSE()),L$5&lt;=VLOOKUP($A50,WBS_계획!$A:$O,8,FALSE())),IF(LEFT($A50,1)="M","◆","■"),""),"")</f>
        <v/>
      </c>
      <c r="M50" s="5" t="str">
        <f aca="false">IF(ISNUMBER(VLOOKUP($A50,WBS_계획!$A:$O,7,FALSE())),IF(AND(M$5&gt;=VLOOKUP($A50,WBS_계획!$A:$O,7,FALSE()),M$5&lt;=VLOOKUP($A50,WBS_계획!$A:$O,8,FALSE())),IF(LEFT($A50,1)="M","◆","■"),""),"")</f>
        <v/>
      </c>
    </row>
    <row r="51" customFormat="false" ht="27.75" hidden="false" customHeight="true" outlineLevel="0" collapsed="false">
      <c r="A51" s="5" t="s">
        <v>264</v>
      </c>
      <c r="B51" s="7" t="str">
        <f aca="false">VLOOKUP($A51,WBS_계획!$A:$O,4,FALSE())</f>
        <v>기능 4종 완료</v>
      </c>
      <c r="C51" s="5" t="str">
        <f aca="false">VLOOKUP($A51,WBS_계획!$A:$O,6,FALSE())</f>
        <v>공동</v>
      </c>
      <c r="D51" s="8" t="str">
        <f aca="false">VLOOKUP($A51,WBS_계획!$A:$O,12,FALSE())</f>
        <v>미착수</v>
      </c>
      <c r="E51" s="5" t="str">
        <f aca="false">IF(ISNUMBER(VLOOKUP($A51,WBS_계획!$A:$O,7,FALSE())),IF(AND(E$5&gt;=VLOOKUP($A51,WBS_계획!$A:$O,7,FALSE()),E$5&lt;=VLOOKUP($A51,WBS_계획!$A:$O,8,FALSE())),IF(LEFT($A51,1)="M","◆","■"),""),"")</f>
        <v/>
      </c>
      <c r="F51" s="5" t="str">
        <f aca="false">IF(ISNUMBER(VLOOKUP($A51,WBS_계획!$A:$O,7,FALSE())),IF(AND(F$5&gt;=VLOOKUP($A51,WBS_계획!$A:$O,7,FALSE()),F$5&lt;=VLOOKUP($A51,WBS_계획!$A:$O,8,FALSE())),IF(LEFT($A51,1)="M","◆","■"),""),"")</f>
        <v/>
      </c>
      <c r="G51" s="5" t="str">
        <f aca="false">IF(ISNUMBER(VLOOKUP($A51,WBS_계획!$A:$O,7,FALSE())),IF(AND(G$5&gt;=VLOOKUP($A51,WBS_계획!$A:$O,7,FALSE()),G$5&lt;=VLOOKUP($A51,WBS_계획!$A:$O,8,FALSE())),IF(LEFT($A51,1)="M","◆","■"),""),"")</f>
        <v/>
      </c>
      <c r="H51" s="5" t="str">
        <f aca="false">IF(ISNUMBER(VLOOKUP($A51,WBS_계획!$A:$O,7,FALSE())),IF(AND(H$5&gt;=VLOOKUP($A51,WBS_계획!$A:$O,7,FALSE()),H$5&lt;=VLOOKUP($A51,WBS_계획!$A:$O,8,FALSE())),IF(LEFT($A51,1)="M","◆","■"),""),"")</f>
        <v/>
      </c>
      <c r="I51" s="5" t="str">
        <f aca="false">IF(ISNUMBER(VLOOKUP($A51,WBS_계획!$A:$O,7,FALSE())),IF(AND(I$5&gt;=VLOOKUP($A51,WBS_계획!$A:$O,7,FALSE()),I$5&lt;=VLOOKUP($A51,WBS_계획!$A:$O,8,FALSE())),IF(LEFT($A51,1)="M","◆","■"),""),"")</f>
        <v/>
      </c>
      <c r="J51" s="5" t="str">
        <f aca="false">IF(ISNUMBER(VLOOKUP($A51,WBS_계획!$A:$O,7,FALSE())),IF(AND(J$5&gt;=VLOOKUP($A51,WBS_계획!$A:$O,7,FALSE()),J$5&lt;=VLOOKUP($A51,WBS_계획!$A:$O,8,FALSE())),IF(LEFT($A51,1)="M","◆","■"),""),"")</f>
        <v>◆</v>
      </c>
      <c r="K51" s="5" t="str">
        <f aca="false">IF(ISNUMBER(VLOOKUP($A51,WBS_계획!$A:$O,7,FALSE())),IF(AND(K$5&gt;=VLOOKUP($A51,WBS_계획!$A:$O,7,FALSE()),K$5&lt;=VLOOKUP($A51,WBS_계획!$A:$O,8,FALSE())),IF(LEFT($A51,1)="M","◆","■"),""),"")</f>
        <v/>
      </c>
      <c r="L51" s="5" t="str">
        <f aca="false">IF(ISNUMBER(VLOOKUP($A51,WBS_계획!$A:$O,7,FALSE())),IF(AND(L$5&gt;=VLOOKUP($A51,WBS_계획!$A:$O,7,FALSE()),L$5&lt;=VLOOKUP($A51,WBS_계획!$A:$O,8,FALSE())),IF(LEFT($A51,1)="M","◆","■"),""),"")</f>
        <v/>
      </c>
      <c r="M51" s="5" t="str">
        <f aca="false">IF(ISNUMBER(VLOOKUP($A51,WBS_계획!$A:$O,7,FALSE())),IF(AND(M$5&gt;=VLOOKUP($A51,WBS_계획!$A:$O,7,FALSE()),M$5&lt;=VLOOKUP($A51,WBS_계획!$A:$O,8,FALSE())),IF(LEFT($A51,1)="M","◆","■"),""),"")</f>
        <v/>
      </c>
    </row>
    <row r="52" customFormat="false" ht="27.75" hidden="false" customHeight="true" outlineLevel="0" collapsed="false">
      <c r="A52" s="5" t="s">
        <v>268</v>
      </c>
      <c r="B52" s="7" t="str">
        <f aca="false">VLOOKUP($A52,WBS_계획!$A:$O,4,FALSE())</f>
        <v>시나리오 완성</v>
      </c>
      <c r="C52" s="5" t="str">
        <f aca="false">VLOOKUP($A52,WBS_계획!$A:$O,6,FALSE())</f>
        <v>공동</v>
      </c>
      <c r="D52" s="8" t="str">
        <f aca="false">VLOOKUP($A52,WBS_계획!$A:$O,12,FALSE())</f>
        <v>미착수</v>
      </c>
      <c r="E52" s="5" t="str">
        <f aca="false">IF(ISNUMBER(VLOOKUP($A52,WBS_계획!$A:$O,7,FALSE())),IF(AND(E$5&gt;=VLOOKUP($A52,WBS_계획!$A:$O,7,FALSE()),E$5&lt;=VLOOKUP($A52,WBS_계획!$A:$O,8,FALSE())),IF(LEFT($A52,1)="M","◆","■"),""),"")</f>
        <v/>
      </c>
      <c r="F52" s="5" t="str">
        <f aca="false">IF(ISNUMBER(VLOOKUP($A52,WBS_계획!$A:$O,7,FALSE())),IF(AND(F$5&gt;=VLOOKUP($A52,WBS_계획!$A:$O,7,FALSE()),F$5&lt;=VLOOKUP($A52,WBS_계획!$A:$O,8,FALSE())),IF(LEFT($A52,1)="M","◆","■"),""),"")</f>
        <v/>
      </c>
      <c r="G52" s="5" t="str">
        <f aca="false">IF(ISNUMBER(VLOOKUP($A52,WBS_계획!$A:$O,7,FALSE())),IF(AND(G$5&gt;=VLOOKUP($A52,WBS_계획!$A:$O,7,FALSE()),G$5&lt;=VLOOKUP($A52,WBS_계획!$A:$O,8,FALSE())),IF(LEFT($A52,1)="M","◆","■"),""),"")</f>
        <v/>
      </c>
      <c r="H52" s="5" t="str">
        <f aca="false">IF(ISNUMBER(VLOOKUP($A52,WBS_계획!$A:$O,7,FALSE())),IF(AND(H$5&gt;=VLOOKUP($A52,WBS_계획!$A:$O,7,FALSE()),H$5&lt;=VLOOKUP($A52,WBS_계획!$A:$O,8,FALSE())),IF(LEFT($A52,1)="M","◆","■"),""),"")</f>
        <v/>
      </c>
      <c r="I52" s="5" t="str">
        <f aca="false">IF(ISNUMBER(VLOOKUP($A52,WBS_계획!$A:$O,7,FALSE())),IF(AND(I$5&gt;=VLOOKUP($A52,WBS_계획!$A:$O,7,FALSE()),I$5&lt;=VLOOKUP($A52,WBS_계획!$A:$O,8,FALSE())),IF(LEFT($A52,1)="M","◆","■"),""),"")</f>
        <v/>
      </c>
      <c r="J52" s="5" t="str">
        <f aca="false">IF(ISNUMBER(VLOOKUP($A52,WBS_계획!$A:$O,7,FALSE())),IF(AND(J$5&gt;=VLOOKUP($A52,WBS_계획!$A:$O,7,FALSE()),J$5&lt;=VLOOKUP($A52,WBS_계획!$A:$O,8,FALSE())),IF(LEFT($A52,1)="M","◆","■"),""),"")</f>
        <v/>
      </c>
      <c r="K52" s="5" t="str">
        <f aca="false">IF(ISNUMBER(VLOOKUP($A52,WBS_계획!$A:$O,7,FALSE())),IF(AND(K$5&gt;=VLOOKUP($A52,WBS_계획!$A:$O,7,FALSE()),K$5&lt;=VLOOKUP($A52,WBS_계획!$A:$O,8,FALSE())),IF(LEFT($A52,1)="M","◆","■"),""),"")</f>
        <v>◆</v>
      </c>
      <c r="L52" s="5" t="str">
        <f aca="false">IF(ISNUMBER(VLOOKUP($A52,WBS_계획!$A:$O,7,FALSE())),IF(AND(L$5&gt;=VLOOKUP($A52,WBS_계획!$A:$O,7,FALSE()),L$5&lt;=VLOOKUP($A52,WBS_계획!$A:$O,8,FALSE())),IF(LEFT($A52,1)="M","◆","■"),""),"")</f>
        <v/>
      </c>
      <c r="M52" s="5" t="str">
        <f aca="false">IF(ISNUMBER(VLOOKUP($A52,WBS_계획!$A:$O,7,FALSE())),IF(AND(M$5&gt;=VLOOKUP($A52,WBS_계획!$A:$O,7,FALSE()),M$5&lt;=VLOOKUP($A52,WBS_계획!$A:$O,8,FALSE())),IF(LEFT($A52,1)="M","◆","■"),""),"")</f>
        <v/>
      </c>
    </row>
    <row r="53" customFormat="false" ht="27.75" hidden="false" customHeight="true" outlineLevel="0" collapsed="false">
      <c r="A53" s="5" t="s">
        <v>271</v>
      </c>
      <c r="B53" s="7" t="str">
        <f aca="false">VLOOKUP($A53,WBS_계획!$A:$O,4,FALSE())</f>
        <v>최종 빌드</v>
      </c>
      <c r="C53" s="5" t="str">
        <f aca="false">VLOOKUP($A53,WBS_계획!$A:$O,6,FALSE())</f>
        <v>공동</v>
      </c>
      <c r="D53" s="8" t="str">
        <f aca="false">VLOOKUP($A53,WBS_계획!$A:$O,12,FALSE())</f>
        <v>미착수</v>
      </c>
      <c r="E53" s="5" t="str">
        <f aca="false">IF(ISNUMBER(VLOOKUP($A53,WBS_계획!$A:$O,7,FALSE())),IF(AND(E$5&gt;=VLOOKUP($A53,WBS_계획!$A:$O,7,FALSE()),E$5&lt;=VLOOKUP($A53,WBS_계획!$A:$O,8,FALSE())),IF(LEFT($A53,1)="M","◆","■"),""),"")</f>
        <v/>
      </c>
      <c r="F53" s="5" t="str">
        <f aca="false">IF(ISNUMBER(VLOOKUP($A53,WBS_계획!$A:$O,7,FALSE())),IF(AND(F$5&gt;=VLOOKUP($A53,WBS_계획!$A:$O,7,FALSE()),F$5&lt;=VLOOKUP($A53,WBS_계획!$A:$O,8,FALSE())),IF(LEFT($A53,1)="M","◆","■"),""),"")</f>
        <v/>
      </c>
      <c r="G53" s="5" t="str">
        <f aca="false">IF(ISNUMBER(VLOOKUP($A53,WBS_계획!$A:$O,7,FALSE())),IF(AND(G$5&gt;=VLOOKUP($A53,WBS_계획!$A:$O,7,FALSE()),G$5&lt;=VLOOKUP($A53,WBS_계획!$A:$O,8,FALSE())),IF(LEFT($A53,1)="M","◆","■"),""),"")</f>
        <v/>
      </c>
      <c r="H53" s="5" t="str">
        <f aca="false">IF(ISNUMBER(VLOOKUP($A53,WBS_계획!$A:$O,7,FALSE())),IF(AND(H$5&gt;=VLOOKUP($A53,WBS_계획!$A:$O,7,FALSE()),H$5&lt;=VLOOKUP($A53,WBS_계획!$A:$O,8,FALSE())),IF(LEFT($A53,1)="M","◆","■"),""),"")</f>
        <v/>
      </c>
      <c r="I53" s="5" t="str">
        <f aca="false">IF(ISNUMBER(VLOOKUP($A53,WBS_계획!$A:$O,7,FALSE())),IF(AND(I$5&gt;=VLOOKUP($A53,WBS_계획!$A:$O,7,FALSE()),I$5&lt;=VLOOKUP($A53,WBS_계획!$A:$O,8,FALSE())),IF(LEFT($A53,1)="M","◆","■"),""),"")</f>
        <v/>
      </c>
      <c r="J53" s="5" t="str">
        <f aca="false">IF(ISNUMBER(VLOOKUP($A53,WBS_계획!$A:$O,7,FALSE())),IF(AND(J$5&gt;=VLOOKUP($A53,WBS_계획!$A:$O,7,FALSE()),J$5&lt;=VLOOKUP($A53,WBS_계획!$A:$O,8,FALSE())),IF(LEFT($A53,1)="M","◆","■"),""),"")</f>
        <v/>
      </c>
      <c r="K53" s="5" t="str">
        <f aca="false">IF(ISNUMBER(VLOOKUP($A53,WBS_계획!$A:$O,7,FALSE())),IF(AND(K$5&gt;=VLOOKUP($A53,WBS_계획!$A:$O,7,FALSE()),K$5&lt;=VLOOKUP($A53,WBS_계획!$A:$O,8,FALSE())),IF(LEFT($A53,1)="M","◆","■"),""),"")</f>
        <v/>
      </c>
      <c r="L53" s="5" t="str">
        <f aca="false">IF(ISNUMBER(VLOOKUP($A53,WBS_계획!$A:$O,7,FALSE())),IF(AND(L$5&gt;=VLOOKUP($A53,WBS_계획!$A:$O,7,FALSE()),L$5&lt;=VLOOKUP($A53,WBS_계획!$A:$O,8,FALSE())),IF(LEFT($A53,1)="M","◆","■"),""),"")</f>
        <v>◆</v>
      </c>
      <c r="M53" s="5" t="str">
        <f aca="false">IF(ISNUMBER(VLOOKUP($A53,WBS_계획!$A:$O,7,FALSE())),IF(AND(M$5&gt;=VLOOKUP($A53,WBS_계획!$A:$O,7,FALSE()),M$5&lt;=VLOOKUP($A53,WBS_계획!$A:$O,8,FALSE())),IF(LEFT($A53,1)="M","◆","■"),""),"")</f>
        <v/>
      </c>
    </row>
    <row r="54" customFormat="false" ht="27.75" hidden="false" customHeight="true" outlineLevel="0" collapsed="false">
      <c r="A54" s="5" t="s">
        <v>274</v>
      </c>
      <c r="B54" s="7" t="str">
        <f aca="false">VLOOKUP($A54,WBS_계획!$A:$O,4,FALSE())</f>
        <v>발표·제출</v>
      </c>
      <c r="C54" s="5" t="str">
        <f aca="false">VLOOKUP($A54,WBS_계획!$A:$O,6,FALSE())</f>
        <v>공동</v>
      </c>
      <c r="D54" s="8" t="str">
        <f aca="false">VLOOKUP($A54,WBS_계획!$A:$O,12,FALSE())</f>
        <v>미착수</v>
      </c>
      <c r="E54" s="5" t="str">
        <f aca="false">IF(ISNUMBER(VLOOKUP($A54,WBS_계획!$A:$O,7,FALSE())),IF(AND(E$5&gt;=VLOOKUP($A54,WBS_계획!$A:$O,7,FALSE()),E$5&lt;=VLOOKUP($A54,WBS_계획!$A:$O,8,FALSE())),IF(LEFT($A54,1)="M","◆","■"),""),"")</f>
        <v/>
      </c>
      <c r="F54" s="5" t="str">
        <f aca="false">IF(ISNUMBER(VLOOKUP($A54,WBS_계획!$A:$O,7,FALSE())),IF(AND(F$5&gt;=VLOOKUP($A54,WBS_계획!$A:$O,7,FALSE()),F$5&lt;=VLOOKUP($A54,WBS_계획!$A:$O,8,FALSE())),IF(LEFT($A54,1)="M","◆","■"),""),"")</f>
        <v/>
      </c>
      <c r="G54" s="5" t="str">
        <f aca="false">IF(ISNUMBER(VLOOKUP($A54,WBS_계획!$A:$O,7,FALSE())),IF(AND(G$5&gt;=VLOOKUP($A54,WBS_계획!$A:$O,7,FALSE()),G$5&lt;=VLOOKUP($A54,WBS_계획!$A:$O,8,FALSE())),IF(LEFT($A54,1)="M","◆","■"),""),"")</f>
        <v/>
      </c>
      <c r="H54" s="5" t="str">
        <f aca="false">IF(ISNUMBER(VLOOKUP($A54,WBS_계획!$A:$O,7,FALSE())),IF(AND(H$5&gt;=VLOOKUP($A54,WBS_계획!$A:$O,7,FALSE()),H$5&lt;=VLOOKUP($A54,WBS_계획!$A:$O,8,FALSE())),IF(LEFT($A54,1)="M","◆","■"),""),"")</f>
        <v/>
      </c>
      <c r="I54" s="5" t="str">
        <f aca="false">IF(ISNUMBER(VLOOKUP($A54,WBS_계획!$A:$O,7,FALSE())),IF(AND(I$5&gt;=VLOOKUP($A54,WBS_계획!$A:$O,7,FALSE()),I$5&lt;=VLOOKUP($A54,WBS_계획!$A:$O,8,FALSE())),IF(LEFT($A54,1)="M","◆","■"),""),"")</f>
        <v/>
      </c>
      <c r="J54" s="5" t="str">
        <f aca="false">IF(ISNUMBER(VLOOKUP($A54,WBS_계획!$A:$O,7,FALSE())),IF(AND(J$5&gt;=VLOOKUP($A54,WBS_계획!$A:$O,7,FALSE()),J$5&lt;=VLOOKUP($A54,WBS_계획!$A:$O,8,FALSE())),IF(LEFT($A54,1)="M","◆","■"),""),"")</f>
        <v/>
      </c>
      <c r="K54" s="5" t="str">
        <f aca="false">IF(ISNUMBER(VLOOKUP($A54,WBS_계획!$A:$O,7,FALSE())),IF(AND(K$5&gt;=VLOOKUP($A54,WBS_계획!$A:$O,7,FALSE()),K$5&lt;=VLOOKUP($A54,WBS_계획!$A:$O,8,FALSE())),IF(LEFT($A54,1)="M","◆","■"),""),"")</f>
        <v/>
      </c>
      <c r="L54" s="5" t="str">
        <f aca="false">IF(ISNUMBER(VLOOKUP($A54,WBS_계획!$A:$O,7,FALSE())),IF(AND(L$5&gt;=VLOOKUP($A54,WBS_계획!$A:$O,7,FALSE()),L$5&lt;=VLOOKUP($A54,WBS_계획!$A:$O,8,FALSE())),IF(LEFT($A54,1)="M","◆","■"),""),"")</f>
        <v/>
      </c>
      <c r="M54" s="5" t="str">
        <f aca="false">IF(ISNUMBER(VLOOKUP($A54,WBS_계획!$A:$O,7,FALSE())),IF(AND(M$5&gt;=VLOOKUP($A54,WBS_계획!$A:$O,7,FALSE()),M$5&lt;=VLOOKUP($A54,WBS_계획!$A:$O,8,FALSE())),IF(LEFT($A54,1)="M","◆","■"),""),"")</f>
        <v>◆</v>
      </c>
    </row>
  </sheetData>
  <mergeCells count="7">
    <mergeCell ref="A1:M2"/>
    <mergeCell ref="A4:A5"/>
    <mergeCell ref="B4:B5"/>
    <mergeCell ref="C4:C5"/>
    <mergeCell ref="D4:D5"/>
    <mergeCell ref="E4:J4"/>
    <mergeCell ref="K4:M4"/>
  </mergeCells>
  <conditionalFormatting sqref="E6:M54">
    <cfRule type="expression" priority="2" aboveAverage="0" equalAverage="0" bottom="0" percent="0" rank="0" text="" dxfId="32">
      <formula>E6="◆"</formula>
    </cfRule>
    <cfRule type="expression" priority="3" aboveAverage="0" equalAverage="0" bottom="0" percent="0" rank="0" text="" dxfId="33">
      <formula>AND($D6="완료",E6="■")</formula>
    </cfRule>
    <cfRule type="expression" priority="4" aboveAverage="0" equalAverage="0" bottom="0" percent="0" rank="0" text="" dxfId="34">
      <formula>AND($C6="김예은",E6="■")</formula>
    </cfRule>
    <cfRule type="expression" priority="5" aboveAverage="0" equalAverage="0" bottom="0" percent="0" rank="0" text="" dxfId="35">
      <formula>AND($C6="강유나",E6="■")</formula>
    </cfRule>
    <cfRule type="expression" priority="6" aboveAverage="0" equalAverage="0" bottom="0" percent="0" rank="0" text="" dxfId="36">
      <formula>AND($C6="공동",E6="■")</formula>
    </cfRule>
  </conditionalFormatting>
  <conditionalFormatting sqref="E5:M5">
    <cfRule type="expression" priority="7" aboveAverage="0" equalAverage="0" bottom="0" percent="0" rank="0" text="" dxfId="37">
      <formula>E$5=TODAY()</formula>
    </cfRule>
  </conditionalFormatting>
  <conditionalFormatting sqref="D6:D54">
    <cfRule type="expression" priority="8" aboveAverage="0" equalAverage="0" bottom="0" percent="0" rank="0" text="" dxfId="38">
      <formula>D6="완료"</formula>
    </cfRule>
    <cfRule type="expression" priority="9" aboveAverage="0" equalAverage="0" bottom="0" percent="0" rank="0" text="" dxfId="39">
      <formula>D6="진행중"</formula>
    </cfRule>
    <cfRule type="expression" priority="10" aboveAverage="0" equalAverage="0" bottom="0" percent="0" rank="0" text="" dxfId="40">
      <formula>D6="미착수"</formula>
    </cfRule>
    <cfRule type="expression" priority="11" aboveAverage="0" equalAverage="0" bottom="0" percent="0" rank="0" text="" dxfId="41">
      <formula>D6="보류"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2026-10-06T09:16:48Z</dcterms:created>
  <dc:creator>openpyxl</dc:creator>
  <dc:description/>
  <dc:language>en-US</dc:language>
  <cp:lastModifiedBy/>
  <dcterms:modified xsi:type="dcterms:W3CDTF">2026-10-06T09:16:48Z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